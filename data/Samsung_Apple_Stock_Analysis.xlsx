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sung" sheetId="1" state="visible" r:id="rId3"/>
    <sheet name="Apple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<sst xmlns="http://schemas.openxmlformats.org/spreadsheetml/2006/main" count="36" uniqueCount="27">
  <si>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Date</t>
  </si>
  <si>
    <t xml:space="preserve">Price</t>
  </si>
  <si>
    <t xml:space="preserve">Open</t>
  </si>
  <si>
    <t xml:space="preserve">High</t>
  </si>
  <si>
    <t xml:space="preserve">Low</t>
  </si>
  <si>
    <t xml:space="preserve">Volume</t>
  </si>
  <si>
    <t xml:space="preserve">Change %</t>
  </si>
  <si>
    <t xml:space="preserve">Source: user-uploaded CSV export</t>
  </si>
  <si>
    <t xml:space="preserve">Samsung vs Apple — Monthly Stock Analysis (Jan 2021 – Jan 2026)</t>
  </si>
  <si>
    <t xml:space="preserve">Metric</t>
  </si>
  <si>
    <t xml:space="preserve">Samsung</t>
  </si>
  <si>
    <t xml:space="preserve">Apple</t>
  </si>
  <si>
    <t xml:space="preserve">Average Monthly Close</t>
  </si>
  <si>
    <t xml:space="preserve">Median Monthly Close</t>
  </si>
  <si>
    <t xml:space="preserve">Highest Close</t>
  </si>
  <si>
    <t xml:space="preserve">Lowest Close</t>
  </si>
  <si>
    <t xml:space="preserve">Std Dev of Close (monthly)</t>
  </si>
  <si>
    <t xml:space="preserve">Average Monthly Volume</t>
  </si>
  <si>
    <t xml:space="preserve">Average Monthly Change %</t>
  </si>
  <si>
    <t xml:space="preserve">Std Dev of Monthly Change % (volatility)</t>
  </si>
  <si>
    <t xml:space="preserve">Best Month (Change %)</t>
  </si>
  <si>
    <t xml:space="preserve">Worst Month (Change %)</t>
  </si>
  <si>
    <t xml:space="preserve">Correlation of Monthly Returns (Samsung vs Apple)</t>
  </si>
  <si>
    <t xml:space="preserve">Note: Volatility = standard deviation of monthly % change. Data cleaned from raw CSV exports (commas and M/B volume suffixes removed).</t>
  </si>
  <si>
    <t xml:space="preserve">Indexed Price Comparison (Jan 2021 = 100)</t>
  </si>
  <si>
    <t xml:space="preserve">Samsung (Indexed)</t>
  </si>
  <si>
    <t xml:space="preserve">Apple (Indexed)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</si>
</sst>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-yyyy"/>
    <numFmt numFmtId="166" formatCode="#,##0"/>
    <numFmt numFmtId="167" formatCode="0.00%;\(0.00%\)"/>
    <numFmt numFmtId="168" formatCode="\$#,##0.00"/>
    <numFmt numFmtId="169" formatCode="0.00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88888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Indexed Price Performance: Samsung vs Apple (Jan 2021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Analysis!B20</c:f>
              <c:strCache>
                <c:ptCount val="1"/>
                <c:pt idx="0">
                  <c:v>Samsung (Indexed)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Analysis!$A$21:$A$81</c:f>
              <c:strCache>
                <c:ptCount val="61"/>
                <c:pt idx="0">
                  <c:v>Jan-2021</c:v>
                </c:pt>
                <c:pt idx="1">
                  <c:v>Feb-2021</c:v>
                </c:pt>
                <c:pt idx="2">
                  <c:v>Mar-2021</c:v>
                </c:pt>
                <c:pt idx="3">
                  <c:v>Apr-2021</c:v>
                </c:pt>
                <c:pt idx="4">
                  <c:v>May-2021</c:v>
                </c:pt>
                <c:pt idx="5">
                  <c:v>Jun-2021</c:v>
                </c:pt>
                <c:pt idx="6">
                  <c:v>Jul-2021</c:v>
                </c:pt>
                <c:pt idx="7">
                  <c:v>Aug-2021</c:v>
                </c:pt>
                <c:pt idx="8">
                  <c:v>Sep-2021</c:v>
                </c:pt>
                <c:pt idx="9">
                  <c:v>Oct-2021</c:v>
                </c:pt>
                <c:pt idx="10">
                  <c:v>Nov-2021</c:v>
                </c:pt>
                <c:pt idx="11">
                  <c:v>Dec-2021</c:v>
                </c:pt>
                <c:pt idx="12">
                  <c:v>Jan-2022</c:v>
                </c:pt>
                <c:pt idx="13">
                  <c:v>Feb-2022</c:v>
                </c:pt>
                <c:pt idx="14">
                  <c:v>Mar-2022</c:v>
                </c:pt>
                <c:pt idx="15">
                  <c:v>Apr-2022</c:v>
                </c:pt>
                <c:pt idx="16">
                  <c:v>May-2022</c:v>
                </c:pt>
                <c:pt idx="17">
                  <c:v>Jun-2022</c:v>
                </c:pt>
                <c:pt idx="18">
                  <c:v>Jul-2022</c:v>
                </c:pt>
                <c:pt idx="19">
                  <c:v>Aug-2022</c:v>
                </c:pt>
                <c:pt idx="20">
                  <c:v>Sep-2022</c:v>
                </c:pt>
                <c:pt idx="21">
                  <c:v>Oct-2022</c:v>
                </c:pt>
                <c:pt idx="22">
                  <c:v>Nov-2022</c:v>
                </c:pt>
                <c:pt idx="23">
                  <c:v>Dec-2022</c:v>
                </c:pt>
                <c:pt idx="24">
                  <c:v>Jan-2023</c:v>
                </c:pt>
                <c:pt idx="25">
                  <c:v>Feb-2023</c:v>
                </c:pt>
                <c:pt idx="26">
                  <c:v>Mar-2023</c:v>
                </c:pt>
                <c:pt idx="27">
                  <c:v>Apr-2023</c:v>
                </c:pt>
                <c:pt idx="28">
                  <c:v>May-2023</c:v>
                </c:pt>
                <c:pt idx="29">
                  <c:v>Jun-2023</c:v>
                </c:pt>
                <c:pt idx="30">
                  <c:v>Jul-2023</c:v>
                </c:pt>
                <c:pt idx="31">
                  <c:v>Aug-2023</c:v>
                </c:pt>
                <c:pt idx="32">
                  <c:v>Sep-2023</c:v>
                </c:pt>
                <c:pt idx="33">
                  <c:v>Oct-2023</c:v>
                </c:pt>
                <c:pt idx="34">
                  <c:v>Nov-2023</c:v>
                </c:pt>
                <c:pt idx="35">
                  <c:v>Dec-2023</c:v>
                </c:pt>
                <c:pt idx="36">
                  <c:v>Jan-2024</c:v>
                </c:pt>
                <c:pt idx="37">
                  <c:v>Feb-2024</c:v>
                </c:pt>
                <c:pt idx="38">
                  <c:v>Mar-2024</c:v>
                </c:pt>
                <c:pt idx="39">
                  <c:v>Apr-2024</c:v>
                </c:pt>
                <c:pt idx="40">
                  <c:v>May-2024</c:v>
                </c:pt>
                <c:pt idx="41">
                  <c:v>Jun-2024</c:v>
                </c:pt>
                <c:pt idx="42">
                  <c:v>Jul-2024</c:v>
                </c:pt>
                <c:pt idx="43">
                  <c:v>Aug-2024</c:v>
                </c:pt>
                <c:pt idx="44">
                  <c:v>Sep-2024</c:v>
                </c:pt>
                <c:pt idx="45">
                  <c:v>Oct-2024</c:v>
                </c:pt>
                <c:pt idx="46">
                  <c:v>Nov-2024</c:v>
                </c:pt>
                <c:pt idx="47">
                  <c:v>Dec-2024</c:v>
                </c:pt>
                <c:pt idx="48">
                  <c:v>Jan-2025</c:v>
                </c:pt>
                <c:pt idx="49">
                  <c:v>Feb-2025</c:v>
                </c:pt>
                <c:pt idx="50">
                  <c:v>Mar-2025</c:v>
                </c:pt>
                <c:pt idx="51">
                  <c:v>Apr-2025</c:v>
                </c:pt>
                <c:pt idx="52">
                  <c:v>May-2025</c:v>
                </c:pt>
                <c:pt idx="53">
                  <c:v>Jun-2025</c:v>
                </c:pt>
                <c:pt idx="54">
                  <c:v>Jul-2025</c:v>
                </c:pt>
                <c:pt idx="55">
                  <c:v>Aug-2025</c:v>
                </c:pt>
                <c:pt idx="56">
                  <c:v>Sep-2025</c:v>
                </c:pt>
                <c:pt idx="57">
                  <c:v>Oct-2025</c:v>
                </c:pt>
                <c:pt idx="58">
                  <c:v>Nov-2025</c:v>
                </c:pt>
                <c:pt idx="59">
                  <c:v>Dec-2025</c:v>
                </c:pt>
                <c:pt idx="60">
                  <c:v>Jan-2026</c:v>
                </c:pt>
              </c:strCache>
            </c:strRef>
          </c:cat>
          <c:val>
            <c:numRef>
              <c:f>Analysis!$B$21:$B$81</c:f>
              <c:numCache>
                <c:formatCode>0.0</c:formatCode>
                <c:ptCount val="61"/>
                <c:pt idx="0">
                  <c:v>100</c:v>
                </c:pt>
                <c:pt idx="1">
                  <c:v>100.609756097561</c:v>
                </c:pt>
                <c:pt idx="2">
                  <c:v>99.2682926829268</c:v>
                </c:pt>
                <c:pt idx="3">
                  <c:v>99.390243902439</c:v>
                </c:pt>
                <c:pt idx="4">
                  <c:v>98.1707317073171</c:v>
                </c:pt>
                <c:pt idx="5">
                  <c:v>98.4146341463415</c:v>
                </c:pt>
                <c:pt idx="6">
                  <c:v>95.7317073170732</c:v>
                </c:pt>
                <c:pt idx="7">
                  <c:v>93.5365853658537</c:v>
                </c:pt>
                <c:pt idx="8">
                  <c:v>90.3658536585366</c:v>
                </c:pt>
                <c:pt idx="9">
                  <c:v>85.1219512195122</c:v>
                </c:pt>
                <c:pt idx="10">
                  <c:v>86.9512195121951</c:v>
                </c:pt>
                <c:pt idx="11">
                  <c:v>95.4878048780488</c:v>
                </c:pt>
                <c:pt idx="12">
                  <c:v>89.390243902439</c:v>
                </c:pt>
                <c:pt idx="13">
                  <c:v>87.9268292682927</c:v>
                </c:pt>
                <c:pt idx="14">
                  <c:v>84.8780487804878</c:v>
                </c:pt>
                <c:pt idx="15">
                  <c:v>82.1951219512195</c:v>
                </c:pt>
                <c:pt idx="16">
                  <c:v>82.1951219512195</c:v>
                </c:pt>
                <c:pt idx="17">
                  <c:v>69.5121951219512</c:v>
                </c:pt>
                <c:pt idx="18">
                  <c:v>74.8780487804878</c:v>
                </c:pt>
                <c:pt idx="19">
                  <c:v>72.8048780487805</c:v>
                </c:pt>
                <c:pt idx="20">
                  <c:v>64.7560975609756</c:v>
                </c:pt>
                <c:pt idx="21">
                  <c:v>72.4390243902439</c:v>
                </c:pt>
                <c:pt idx="22">
                  <c:v>75.8536585365854</c:v>
                </c:pt>
                <c:pt idx="23">
                  <c:v>67.4390243902439</c:v>
                </c:pt>
                <c:pt idx="24">
                  <c:v>74.390243902439</c:v>
                </c:pt>
                <c:pt idx="25">
                  <c:v>73.9024390243903</c:v>
                </c:pt>
                <c:pt idx="26">
                  <c:v>78.0487804878049</c:v>
                </c:pt>
                <c:pt idx="27">
                  <c:v>79.8780487804878</c:v>
                </c:pt>
                <c:pt idx="28">
                  <c:v>87.0731707317073</c:v>
                </c:pt>
                <c:pt idx="29">
                  <c:v>88.0487804878049</c:v>
                </c:pt>
                <c:pt idx="30">
                  <c:v>85.1219512195122</c:v>
                </c:pt>
                <c:pt idx="31">
                  <c:v>81.5853658536585</c:v>
                </c:pt>
                <c:pt idx="32">
                  <c:v>83.4146341463415</c:v>
                </c:pt>
                <c:pt idx="33">
                  <c:v>81.5853658536585</c:v>
                </c:pt>
                <c:pt idx="34">
                  <c:v>88.7804878048781</c:v>
                </c:pt>
                <c:pt idx="35">
                  <c:v>95.7317073170732</c:v>
                </c:pt>
                <c:pt idx="36">
                  <c:v>88.6585365853659</c:v>
                </c:pt>
                <c:pt idx="37">
                  <c:v>89.5121951219512</c:v>
                </c:pt>
                <c:pt idx="38">
                  <c:v>100.487804878049</c:v>
                </c:pt>
                <c:pt idx="39">
                  <c:v>94.5121951219512</c:v>
                </c:pt>
                <c:pt idx="40">
                  <c:v>89.6341463414634</c:v>
                </c:pt>
                <c:pt idx="41">
                  <c:v>99.390243902439</c:v>
                </c:pt>
                <c:pt idx="42">
                  <c:v>102.317073170732</c:v>
                </c:pt>
                <c:pt idx="43">
                  <c:v>90.609756097561</c:v>
                </c:pt>
                <c:pt idx="44">
                  <c:v>75</c:v>
                </c:pt>
                <c:pt idx="45">
                  <c:v>72.1951219512195</c:v>
                </c:pt>
                <c:pt idx="46">
                  <c:v>66.0975609756098</c:v>
                </c:pt>
                <c:pt idx="47">
                  <c:v>64.8780487804878</c:v>
                </c:pt>
                <c:pt idx="48">
                  <c:v>63.9024390243903</c:v>
                </c:pt>
                <c:pt idx="49">
                  <c:v>66.4634146341464</c:v>
                </c:pt>
                <c:pt idx="50">
                  <c:v>70.4878048780488</c:v>
                </c:pt>
                <c:pt idx="51">
                  <c:v>67.6829268292683</c:v>
                </c:pt>
                <c:pt idx="52">
                  <c:v>68.5365853658537</c:v>
                </c:pt>
                <c:pt idx="53">
                  <c:v>72.9268292682927</c:v>
                </c:pt>
                <c:pt idx="54">
                  <c:v>87.0731707317073</c:v>
                </c:pt>
                <c:pt idx="55">
                  <c:v>85</c:v>
                </c:pt>
                <c:pt idx="56">
                  <c:v>102.317073170732</c:v>
                </c:pt>
                <c:pt idx="57">
                  <c:v>131.09756097561</c:v>
                </c:pt>
                <c:pt idx="58">
                  <c:v>122.560975609756</c:v>
                </c:pt>
                <c:pt idx="59">
                  <c:v>146.219512195122</c:v>
                </c:pt>
                <c:pt idx="60">
                  <c:v>195.731707317073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Analysis!C20</c:f>
              <c:strCache>
                <c:ptCount val="1"/>
                <c:pt idx="0">
                  <c:v>Apple (Indexed)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Analysis!$A$21:$A$81</c:f>
              <c:strCache>
                <c:ptCount val="61"/>
                <c:pt idx="0">
                  <c:v>Jan-2021</c:v>
                </c:pt>
                <c:pt idx="1">
                  <c:v>Feb-2021</c:v>
                </c:pt>
                <c:pt idx="2">
                  <c:v>Mar-2021</c:v>
                </c:pt>
                <c:pt idx="3">
                  <c:v>Apr-2021</c:v>
                </c:pt>
                <c:pt idx="4">
                  <c:v>May-2021</c:v>
                </c:pt>
                <c:pt idx="5">
                  <c:v>Jun-2021</c:v>
                </c:pt>
                <c:pt idx="6">
                  <c:v>Jul-2021</c:v>
                </c:pt>
                <c:pt idx="7">
                  <c:v>Aug-2021</c:v>
                </c:pt>
                <c:pt idx="8">
                  <c:v>Sep-2021</c:v>
                </c:pt>
                <c:pt idx="9">
                  <c:v>Oct-2021</c:v>
                </c:pt>
                <c:pt idx="10">
                  <c:v>Nov-2021</c:v>
                </c:pt>
                <c:pt idx="11">
                  <c:v>Dec-2021</c:v>
                </c:pt>
                <c:pt idx="12">
                  <c:v>Jan-2022</c:v>
                </c:pt>
                <c:pt idx="13">
                  <c:v>Feb-2022</c:v>
                </c:pt>
                <c:pt idx="14">
                  <c:v>Mar-2022</c:v>
                </c:pt>
                <c:pt idx="15">
                  <c:v>Apr-2022</c:v>
                </c:pt>
                <c:pt idx="16">
                  <c:v>May-2022</c:v>
                </c:pt>
                <c:pt idx="17">
                  <c:v>Jun-2022</c:v>
                </c:pt>
                <c:pt idx="18">
                  <c:v>Jul-2022</c:v>
                </c:pt>
                <c:pt idx="19">
                  <c:v>Aug-2022</c:v>
                </c:pt>
                <c:pt idx="20">
                  <c:v>Sep-2022</c:v>
                </c:pt>
                <c:pt idx="21">
                  <c:v>Oct-2022</c:v>
                </c:pt>
                <c:pt idx="22">
                  <c:v>Nov-2022</c:v>
                </c:pt>
                <c:pt idx="23">
                  <c:v>Dec-2022</c:v>
                </c:pt>
                <c:pt idx="24">
                  <c:v>Jan-2023</c:v>
                </c:pt>
                <c:pt idx="25">
                  <c:v>Feb-2023</c:v>
                </c:pt>
                <c:pt idx="26">
                  <c:v>Mar-2023</c:v>
                </c:pt>
                <c:pt idx="27">
                  <c:v>Apr-2023</c:v>
                </c:pt>
                <c:pt idx="28">
                  <c:v>May-2023</c:v>
                </c:pt>
                <c:pt idx="29">
                  <c:v>Jun-2023</c:v>
                </c:pt>
                <c:pt idx="30">
                  <c:v>Jul-2023</c:v>
                </c:pt>
                <c:pt idx="31">
                  <c:v>Aug-2023</c:v>
                </c:pt>
                <c:pt idx="32">
                  <c:v>Sep-2023</c:v>
                </c:pt>
                <c:pt idx="33">
                  <c:v>Oct-2023</c:v>
                </c:pt>
                <c:pt idx="34">
                  <c:v>Nov-2023</c:v>
                </c:pt>
                <c:pt idx="35">
                  <c:v>Dec-2023</c:v>
                </c:pt>
                <c:pt idx="36">
                  <c:v>Jan-2024</c:v>
                </c:pt>
                <c:pt idx="37">
                  <c:v>Feb-2024</c:v>
                </c:pt>
                <c:pt idx="38">
                  <c:v>Mar-2024</c:v>
                </c:pt>
                <c:pt idx="39">
                  <c:v>Apr-2024</c:v>
                </c:pt>
                <c:pt idx="40">
                  <c:v>May-2024</c:v>
                </c:pt>
                <c:pt idx="41">
                  <c:v>Jun-2024</c:v>
                </c:pt>
                <c:pt idx="42">
                  <c:v>Jul-2024</c:v>
                </c:pt>
                <c:pt idx="43">
                  <c:v>Aug-2024</c:v>
                </c:pt>
                <c:pt idx="44">
                  <c:v>Sep-2024</c:v>
                </c:pt>
                <c:pt idx="45">
                  <c:v>Oct-2024</c:v>
                </c:pt>
                <c:pt idx="46">
                  <c:v>Nov-2024</c:v>
                </c:pt>
                <c:pt idx="47">
                  <c:v>Dec-2024</c:v>
                </c:pt>
                <c:pt idx="48">
                  <c:v>Jan-2025</c:v>
                </c:pt>
                <c:pt idx="49">
                  <c:v>Feb-2025</c:v>
                </c:pt>
                <c:pt idx="50">
                  <c:v>Mar-2025</c:v>
                </c:pt>
                <c:pt idx="51">
                  <c:v>Apr-2025</c:v>
                </c:pt>
                <c:pt idx="52">
                  <c:v>May-2025</c:v>
                </c:pt>
                <c:pt idx="53">
                  <c:v>Jun-2025</c:v>
                </c:pt>
                <c:pt idx="54">
                  <c:v>Jul-2025</c:v>
                </c:pt>
                <c:pt idx="55">
                  <c:v>Aug-2025</c:v>
                </c:pt>
                <c:pt idx="56">
                  <c:v>Sep-2025</c:v>
                </c:pt>
                <c:pt idx="57">
                  <c:v>Oct-2025</c:v>
                </c:pt>
                <c:pt idx="58">
                  <c:v>Nov-2025</c:v>
                </c:pt>
                <c:pt idx="59">
                  <c:v>Dec-2025</c:v>
                </c:pt>
                <c:pt idx="60">
                  <c:v>Jan-2026</c:v>
                </c:pt>
              </c:strCache>
            </c:strRef>
          </c:cat>
          <c:val>
            <c:numRef>
              <c:f>Analysis!$C$21:$C$81</c:f>
              <c:numCache>
                <c:formatCode>0.0</c:formatCode>
                <c:ptCount val="61"/>
                <c:pt idx="0">
                  <c:v>100</c:v>
                </c:pt>
                <c:pt idx="1">
                  <c:v>91.8914822673537</c:v>
                </c:pt>
                <c:pt idx="2">
                  <c:v>92.565929069415</c:v>
                </c:pt>
                <c:pt idx="3">
                  <c:v>99.6210973022128</c:v>
                </c:pt>
                <c:pt idx="4">
                  <c:v>94.430130342528</c:v>
                </c:pt>
                <c:pt idx="5">
                  <c:v>103.789026977872</c:v>
                </c:pt>
                <c:pt idx="6">
                  <c:v>110.533494998484</c:v>
                </c:pt>
                <c:pt idx="7">
                  <c:v>115.057593210064</c:v>
                </c:pt>
                <c:pt idx="8">
                  <c:v>107.22946347378</c:v>
                </c:pt>
                <c:pt idx="9">
                  <c:v>113.519248257048</c:v>
                </c:pt>
                <c:pt idx="10">
                  <c:v>125.265231888451</c:v>
                </c:pt>
                <c:pt idx="11">
                  <c:v>134.563504092149</c:v>
                </c:pt>
                <c:pt idx="12">
                  <c:v>132.449227038497</c:v>
                </c:pt>
                <c:pt idx="13">
                  <c:v>125.128826917248</c:v>
                </c:pt>
                <c:pt idx="14">
                  <c:v>132.320400121249</c:v>
                </c:pt>
                <c:pt idx="15">
                  <c:v>119.468020612307</c:v>
                </c:pt>
                <c:pt idx="16">
                  <c:v>112.791755077296</c:v>
                </c:pt>
                <c:pt idx="17">
                  <c:v>103.607153682934</c:v>
                </c:pt>
                <c:pt idx="18">
                  <c:v>123.150954834798</c:v>
                </c:pt>
                <c:pt idx="19">
                  <c:v>119.14216429221</c:v>
                </c:pt>
                <c:pt idx="20">
                  <c:v>104.728705668384</c:v>
                </c:pt>
                <c:pt idx="21">
                  <c:v>116.201879357381</c:v>
                </c:pt>
                <c:pt idx="22">
                  <c:v>112.177932706881</c:v>
                </c:pt>
                <c:pt idx="23">
                  <c:v>98.4616550469839</c:v>
                </c:pt>
                <c:pt idx="24">
                  <c:v>109.343740527433</c:v>
                </c:pt>
                <c:pt idx="25">
                  <c:v>111.708093361625</c:v>
                </c:pt>
                <c:pt idx="26">
                  <c:v>124.962109730221</c:v>
                </c:pt>
                <c:pt idx="27">
                  <c:v>128.584419521067</c:v>
                </c:pt>
                <c:pt idx="28">
                  <c:v>134.321006365565</c:v>
                </c:pt>
                <c:pt idx="29">
                  <c:v>146.99151257957</c:v>
                </c:pt>
                <c:pt idx="30">
                  <c:v>148.870869960594</c:v>
                </c:pt>
                <c:pt idx="31">
                  <c:v>142.368899666566</c:v>
                </c:pt>
                <c:pt idx="32">
                  <c:v>129.743861776296</c:v>
                </c:pt>
                <c:pt idx="33">
                  <c:v>129.410427402243</c:v>
                </c:pt>
                <c:pt idx="34">
                  <c:v>143.94513488936</c:v>
                </c:pt>
                <c:pt idx="35">
                  <c:v>145.900272809942</c:v>
                </c:pt>
                <c:pt idx="36">
                  <c:v>139.739314943922</c:v>
                </c:pt>
                <c:pt idx="37">
                  <c:v>136.973325250076</c:v>
                </c:pt>
                <c:pt idx="38">
                  <c:v>129.948469233101</c:v>
                </c:pt>
                <c:pt idx="39">
                  <c:v>129.07699302819</c:v>
                </c:pt>
                <c:pt idx="40">
                  <c:v>145.688087299182</c:v>
                </c:pt>
                <c:pt idx="41">
                  <c:v>159.608972415884</c:v>
                </c:pt>
                <c:pt idx="42">
                  <c:v>168.293422249166</c:v>
                </c:pt>
                <c:pt idx="43">
                  <c:v>173.537435586541</c:v>
                </c:pt>
                <c:pt idx="44">
                  <c:v>176.568657168839</c:v>
                </c:pt>
                <c:pt idx="45">
                  <c:v>171.195816914216</c:v>
                </c:pt>
                <c:pt idx="46">
                  <c:v>179.849954531676</c:v>
                </c:pt>
                <c:pt idx="47">
                  <c:v>189.769627159745</c:v>
                </c:pt>
                <c:pt idx="48">
                  <c:v>178.842073355562</c:v>
                </c:pt>
                <c:pt idx="49">
                  <c:v>183.267656865717</c:v>
                </c:pt>
                <c:pt idx="50">
                  <c:v>168.331312518945</c:v>
                </c:pt>
                <c:pt idx="51">
                  <c:v>161.033646559564</c:v>
                </c:pt>
                <c:pt idx="52">
                  <c:v>152.205213701122</c:v>
                </c:pt>
                <c:pt idx="53">
                  <c:v>155.478933010003</c:v>
                </c:pt>
                <c:pt idx="54">
                  <c:v>157.297665959382</c:v>
                </c:pt>
                <c:pt idx="55">
                  <c:v>175.916944528645</c:v>
                </c:pt>
                <c:pt idx="56">
                  <c:v>192.959987875114</c:v>
                </c:pt>
                <c:pt idx="57">
                  <c:v>204.887844801455</c:v>
                </c:pt>
                <c:pt idx="58">
                  <c:v>211.314034555926</c:v>
                </c:pt>
                <c:pt idx="59">
                  <c:v>206.016974840861</c:v>
                </c:pt>
                <c:pt idx="60">
                  <c:v>196.63534404365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106224"/>
        <c:axId val="32005098"/>
      </c:lineChart>
      <c:catAx>
        <c:axId val="43106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05098"/>
        <c:crosses val="autoZero"/>
        <c:auto val="1"/>
        <c:lblAlgn val="ctr"/>
        <c:lblOffset val="100"/>
        <c:noMultiLvlLbl val="0"/>
      </c:catAx>
      <c:valAx>
        <c:axId val="32005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(Jan 2021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06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17</xdr:row>
      <xdr:rowOff>176040</xdr:rowOff>
    </xdr:from>
    <xdr:to>
      <xdr:col>19</xdr:col>
      <xdr:colOff>126360</xdr:colOff>
      <xdr:row>40</xdr:row>
      <xdr:rowOff>114120</xdr:rowOff>
    </xdr:to>
    <xdr:graphicFrame>
      <xdr:nvGraphicFramePr>
        <xdr:cNvPr id="0" name="Chart 1"/>
        <xdr:cNvGraphicFramePr/>
      </xdr:nvGraphicFramePr>
      <xdr:xfrm>
        <a:off x="5497920" y="342900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n">
        <v>44197</v>
      </c>
      <c r="B2" s="4" t="n">
        <v>82000</v>
      </c>
      <c r="C2" s="4" t="n">
        <v>81000</v>
      </c>
      <c r="D2" s="4" t="n">
        <v>96800</v>
      </c>
      <c r="E2" s="4" t="n">
        <v>80200</v>
      </c>
      <c r="F2" s="4" t="n">
        <v>749960000</v>
      </c>
      <c r="G2" s="5" t="n">
        <v>0.0123</v>
      </c>
    </row>
    <row r="3" customFormat="false" ht="15" hidden="false" customHeight="false" outlineLevel="0" collapsed="false">
      <c r="A3" s="3" t="n">
        <v>44228</v>
      </c>
      <c r="B3" s="4" t="n">
        <v>82500</v>
      </c>
      <c r="C3" s="4" t="n">
        <v>81700</v>
      </c>
      <c r="D3" s="4" t="n">
        <v>86400</v>
      </c>
      <c r="E3" s="4" t="n">
        <v>81000</v>
      </c>
      <c r="F3" s="4" t="n">
        <v>422570000</v>
      </c>
      <c r="G3" s="5" t="n">
        <v>0.0061</v>
      </c>
    </row>
    <row r="4" customFormat="false" ht="15" hidden="false" customHeight="false" outlineLevel="0" collapsed="false">
      <c r="A4" s="3" t="n">
        <v>44256</v>
      </c>
      <c r="B4" s="4" t="n">
        <v>81400</v>
      </c>
      <c r="C4" s="4" t="n">
        <v>85100</v>
      </c>
      <c r="D4" s="4" t="n">
        <v>85300</v>
      </c>
      <c r="E4" s="4" t="n">
        <v>80600</v>
      </c>
      <c r="F4" s="4" t="n">
        <v>378660000</v>
      </c>
      <c r="G4" s="5" t="n">
        <v>-0.0133</v>
      </c>
    </row>
    <row r="5" customFormat="false" ht="15" hidden="false" customHeight="false" outlineLevel="0" collapsed="false">
      <c r="A5" s="3" t="n">
        <v>44287</v>
      </c>
      <c r="B5" s="4" t="n">
        <v>81500</v>
      </c>
      <c r="C5" s="4" t="n">
        <v>82500</v>
      </c>
      <c r="D5" s="4" t="n">
        <v>86200</v>
      </c>
      <c r="E5" s="4" t="n">
        <v>81500</v>
      </c>
      <c r="F5" s="4" t="n">
        <v>368610000</v>
      </c>
      <c r="G5" s="5" t="n">
        <v>0.0012</v>
      </c>
    </row>
    <row r="6" customFormat="false" ht="15" hidden="false" customHeight="false" outlineLevel="0" collapsed="false">
      <c r="A6" s="3" t="n">
        <v>44317</v>
      </c>
      <c r="B6" s="4" t="n">
        <v>80500</v>
      </c>
      <c r="C6" s="4" t="n">
        <v>81000</v>
      </c>
      <c r="D6" s="4" t="n">
        <v>83500</v>
      </c>
      <c r="E6" s="4" t="n">
        <v>78400</v>
      </c>
      <c r="F6" s="4" t="n">
        <v>344650000</v>
      </c>
      <c r="G6" s="5" t="n">
        <v>-0.0123</v>
      </c>
    </row>
    <row r="7" customFormat="false" ht="15" hidden="false" customHeight="false" outlineLevel="0" collapsed="false">
      <c r="A7" s="3" t="n">
        <v>44348</v>
      </c>
      <c r="B7" s="4" t="n">
        <v>80700</v>
      </c>
      <c r="C7" s="4" t="n">
        <v>80500</v>
      </c>
      <c r="D7" s="4" t="n">
        <v>83000</v>
      </c>
      <c r="E7" s="4" t="n">
        <v>79600</v>
      </c>
      <c r="F7" s="4" t="n">
        <v>325980000</v>
      </c>
      <c r="G7" s="5" t="n">
        <v>0.0025</v>
      </c>
    </row>
    <row r="8" customFormat="false" ht="15" hidden="false" customHeight="false" outlineLevel="0" collapsed="false">
      <c r="A8" s="3" t="n">
        <v>44378</v>
      </c>
      <c r="B8" s="4" t="n">
        <v>78500</v>
      </c>
      <c r="C8" s="4" t="n">
        <v>80500</v>
      </c>
      <c r="D8" s="4" t="n">
        <v>81300</v>
      </c>
      <c r="E8" s="4" t="n">
        <v>78100</v>
      </c>
      <c r="F8" s="4" t="n">
        <v>270320000</v>
      </c>
      <c r="G8" s="5" t="n">
        <v>-0.0273</v>
      </c>
    </row>
    <row r="9" customFormat="false" ht="15" hidden="false" customHeight="false" outlineLevel="0" collapsed="false">
      <c r="A9" s="3" t="n">
        <v>44409</v>
      </c>
      <c r="B9" s="4" t="n">
        <v>76700</v>
      </c>
      <c r="C9" s="4" t="n">
        <v>79200</v>
      </c>
      <c r="D9" s="4" t="n">
        <v>83300</v>
      </c>
      <c r="E9" s="4" t="n">
        <v>72500</v>
      </c>
      <c r="F9" s="4" t="n">
        <v>493090000</v>
      </c>
      <c r="G9" s="5" t="n">
        <v>-0.0229</v>
      </c>
    </row>
    <row r="10" customFormat="false" ht="15" hidden="false" customHeight="false" outlineLevel="0" collapsed="false">
      <c r="A10" s="3" t="n">
        <v>44440</v>
      </c>
      <c r="B10" s="4" t="n">
        <v>74100</v>
      </c>
      <c r="C10" s="4" t="n">
        <v>76700</v>
      </c>
      <c r="D10" s="4" t="n">
        <v>77800</v>
      </c>
      <c r="E10" s="4" t="n">
        <v>73700</v>
      </c>
      <c r="F10" s="4" t="n">
        <v>275500000</v>
      </c>
      <c r="G10" s="5" t="n">
        <v>-0.0339</v>
      </c>
    </row>
    <row r="11" customFormat="false" ht="15" hidden="false" customHeight="false" outlineLevel="0" collapsed="false">
      <c r="A11" s="3" t="n">
        <v>44470</v>
      </c>
      <c r="B11" s="4" t="n">
        <v>69800</v>
      </c>
      <c r="C11" s="4" t="n">
        <v>73900</v>
      </c>
      <c r="D11" s="4" t="n">
        <v>74000</v>
      </c>
      <c r="E11" s="4" t="n">
        <v>68300</v>
      </c>
      <c r="F11" s="4" t="n">
        <v>296270000</v>
      </c>
      <c r="G11" s="5" t="n">
        <v>-0.058</v>
      </c>
    </row>
    <row r="12" customFormat="false" ht="15" hidden="false" customHeight="false" outlineLevel="0" collapsed="false">
      <c r="A12" s="3" t="n">
        <v>44501</v>
      </c>
      <c r="B12" s="4" t="n">
        <v>71300</v>
      </c>
      <c r="C12" s="4" t="n">
        <v>70200</v>
      </c>
      <c r="D12" s="4" t="n">
        <v>76200</v>
      </c>
      <c r="E12" s="4" t="n">
        <v>69600</v>
      </c>
      <c r="F12" s="4" t="n">
        <v>309320000</v>
      </c>
      <c r="G12" s="5" t="n">
        <v>0.0215</v>
      </c>
    </row>
    <row r="13" customFormat="false" ht="15" hidden="false" customHeight="false" outlineLevel="0" collapsed="false">
      <c r="A13" s="3" t="n">
        <v>44531</v>
      </c>
      <c r="B13" s="4" t="n">
        <v>78300</v>
      </c>
      <c r="C13" s="4" t="n">
        <v>72000</v>
      </c>
      <c r="D13" s="4" t="n">
        <v>80800</v>
      </c>
      <c r="E13" s="4" t="n">
        <v>71600</v>
      </c>
      <c r="F13" s="4" t="n">
        <v>335510000</v>
      </c>
      <c r="G13" s="5" t="n">
        <v>0.0982</v>
      </c>
    </row>
    <row r="14" customFormat="false" ht="15" hidden="false" customHeight="false" outlineLevel="0" collapsed="false">
      <c r="A14" s="3" t="n">
        <v>44562</v>
      </c>
      <c r="B14" s="4" t="n">
        <v>73300</v>
      </c>
      <c r="C14" s="4" t="n">
        <v>79400</v>
      </c>
      <c r="D14" s="4" t="n">
        <v>79800</v>
      </c>
      <c r="E14" s="4" t="n">
        <v>71200</v>
      </c>
      <c r="F14" s="4" t="n">
        <v>277500000</v>
      </c>
      <c r="G14" s="5" t="n">
        <v>-0.0639</v>
      </c>
    </row>
    <row r="15" customFormat="false" ht="15" hidden="false" customHeight="false" outlineLevel="0" collapsed="false">
      <c r="A15" s="3" t="n">
        <v>44593</v>
      </c>
      <c r="B15" s="4" t="n">
        <v>72100</v>
      </c>
      <c r="C15" s="4" t="n">
        <v>74900</v>
      </c>
      <c r="D15" s="4" t="n">
        <v>75800</v>
      </c>
      <c r="E15" s="4" t="n">
        <v>71000</v>
      </c>
      <c r="F15" s="4" t="n">
        <v>230310000</v>
      </c>
      <c r="G15" s="5" t="n">
        <v>-0.0164</v>
      </c>
    </row>
    <row r="16" customFormat="false" ht="15" hidden="false" customHeight="false" outlineLevel="0" collapsed="false">
      <c r="A16" s="3" t="n">
        <v>44621</v>
      </c>
      <c r="B16" s="4" t="n">
        <v>69600</v>
      </c>
      <c r="C16" s="4" t="n">
        <v>72300</v>
      </c>
      <c r="D16" s="4" t="n">
        <v>73100</v>
      </c>
      <c r="E16" s="4" t="n">
        <v>68700</v>
      </c>
      <c r="F16" s="4" t="n">
        <v>284060000</v>
      </c>
      <c r="G16" s="5" t="n">
        <v>-0.0347</v>
      </c>
    </row>
    <row r="17" customFormat="false" ht="15" hidden="false" customHeight="false" outlineLevel="0" collapsed="false">
      <c r="A17" s="3" t="n">
        <v>44652</v>
      </c>
      <c r="B17" s="4" t="n">
        <v>67400</v>
      </c>
      <c r="C17" s="4" t="n">
        <v>69500</v>
      </c>
      <c r="D17" s="4" t="n">
        <v>69600</v>
      </c>
      <c r="E17" s="4" t="n">
        <v>64500</v>
      </c>
      <c r="F17" s="4" t="n">
        <v>307430000</v>
      </c>
      <c r="G17" s="5" t="n">
        <v>-0.0316</v>
      </c>
    </row>
    <row r="18" customFormat="false" ht="15" hidden="false" customHeight="false" outlineLevel="0" collapsed="false">
      <c r="A18" s="3" t="n">
        <v>44682</v>
      </c>
      <c r="B18" s="4" t="n">
        <v>67400</v>
      </c>
      <c r="C18" s="4" t="n">
        <v>66600</v>
      </c>
      <c r="D18" s="4" t="n">
        <v>68800</v>
      </c>
      <c r="E18" s="4" t="n">
        <v>64900</v>
      </c>
      <c r="F18" s="4" t="n">
        <v>306840000</v>
      </c>
      <c r="G18" s="5" t="n">
        <v>0</v>
      </c>
    </row>
    <row r="19" customFormat="false" ht="15" hidden="false" customHeight="false" outlineLevel="0" collapsed="false">
      <c r="A19" s="3" t="n">
        <v>44713</v>
      </c>
      <c r="B19" s="4" t="n">
        <v>57000</v>
      </c>
      <c r="C19" s="4" t="n">
        <v>66600</v>
      </c>
      <c r="D19" s="4" t="n">
        <v>67300</v>
      </c>
      <c r="E19" s="4" t="n">
        <v>56800</v>
      </c>
      <c r="F19" s="4" t="n">
        <v>421250000</v>
      </c>
      <c r="G19" s="5" t="n">
        <v>-0.1543</v>
      </c>
    </row>
    <row r="20" customFormat="false" ht="15" hidden="false" customHeight="false" outlineLevel="0" collapsed="false">
      <c r="A20" s="3" t="n">
        <v>44743</v>
      </c>
      <c r="B20" s="4" t="n">
        <v>61400</v>
      </c>
      <c r="C20" s="4" t="n">
        <v>56900</v>
      </c>
      <c r="D20" s="4" t="n">
        <v>62600</v>
      </c>
      <c r="E20" s="4" t="n">
        <v>55700</v>
      </c>
      <c r="F20" s="4" t="n">
        <v>299060000</v>
      </c>
      <c r="G20" s="5" t="n">
        <v>0.0772</v>
      </c>
    </row>
    <row r="21" customFormat="false" ht="15" hidden="false" customHeight="false" outlineLevel="0" collapsed="false">
      <c r="A21" s="3" t="n">
        <v>44774</v>
      </c>
      <c r="B21" s="4" t="n">
        <v>59700</v>
      </c>
      <c r="C21" s="4" t="n">
        <v>61000</v>
      </c>
      <c r="D21" s="4" t="n">
        <v>61900</v>
      </c>
      <c r="E21" s="4" t="n">
        <v>58200</v>
      </c>
      <c r="F21" s="4" t="n">
        <v>245990000</v>
      </c>
      <c r="G21" s="5" t="n">
        <v>-0.0277</v>
      </c>
    </row>
    <row r="22" customFormat="false" ht="15" hidden="false" customHeight="false" outlineLevel="0" collapsed="false">
      <c r="A22" s="3" t="n">
        <v>44805</v>
      </c>
      <c r="B22" s="4" t="n">
        <v>53100</v>
      </c>
      <c r="C22" s="4" t="n">
        <v>58700</v>
      </c>
      <c r="D22" s="4" t="n">
        <v>58900</v>
      </c>
      <c r="E22" s="4" t="n">
        <v>51800</v>
      </c>
      <c r="F22" s="4" t="n">
        <v>278130000</v>
      </c>
      <c r="G22" s="5" t="n">
        <v>-0.1106</v>
      </c>
    </row>
    <row r="23" customFormat="false" ht="15" hidden="false" customHeight="false" outlineLevel="0" collapsed="false">
      <c r="A23" s="3" t="n">
        <v>44835</v>
      </c>
      <c r="B23" s="4" t="n">
        <v>59400</v>
      </c>
      <c r="C23" s="4" t="n">
        <v>55300</v>
      </c>
      <c r="D23" s="4" t="n">
        <v>60100</v>
      </c>
      <c r="E23" s="4" t="n">
        <v>54000</v>
      </c>
      <c r="F23" s="4" t="n">
        <v>320260000</v>
      </c>
      <c r="G23" s="5" t="n">
        <v>0.1186</v>
      </c>
    </row>
    <row r="24" customFormat="false" ht="15" hidden="false" customHeight="false" outlineLevel="0" collapsed="false">
      <c r="A24" s="3" t="n">
        <v>44866</v>
      </c>
      <c r="B24" s="4" t="n">
        <v>62200</v>
      </c>
      <c r="C24" s="4" t="n">
        <v>59900</v>
      </c>
      <c r="D24" s="4" t="n">
        <v>63200</v>
      </c>
      <c r="E24" s="4" t="n">
        <v>58100</v>
      </c>
      <c r="F24" s="4" t="n">
        <v>284920000</v>
      </c>
      <c r="G24" s="5" t="n">
        <v>0.0471</v>
      </c>
    </row>
    <row r="25" customFormat="false" ht="15" hidden="false" customHeight="false" outlineLevel="0" collapsed="false">
      <c r="A25" s="3" t="n">
        <v>44896</v>
      </c>
      <c r="B25" s="4" t="n">
        <v>55300</v>
      </c>
      <c r="C25" s="4" t="n">
        <v>63100</v>
      </c>
      <c r="D25" s="4" t="n">
        <v>63200</v>
      </c>
      <c r="E25" s="4" t="n">
        <v>55300</v>
      </c>
      <c r="F25" s="4" t="n">
        <v>228500000</v>
      </c>
      <c r="G25" s="5" t="n">
        <v>-0.1109</v>
      </c>
    </row>
    <row r="26" customFormat="false" ht="15" hidden="false" customHeight="false" outlineLevel="0" collapsed="false">
      <c r="A26" s="3" t="n">
        <v>44927</v>
      </c>
      <c r="B26" s="4" t="n">
        <v>61000</v>
      </c>
      <c r="C26" s="4" t="n">
        <v>55500</v>
      </c>
      <c r="D26" s="4" t="n">
        <v>65000</v>
      </c>
      <c r="E26" s="4" t="n">
        <v>54500</v>
      </c>
      <c r="F26" s="4" t="n">
        <v>298530000</v>
      </c>
      <c r="G26" s="5" t="n">
        <v>0.1031</v>
      </c>
    </row>
    <row r="27" customFormat="false" ht="15" hidden="false" customHeight="false" outlineLevel="0" collapsed="false">
      <c r="A27" s="3" t="n">
        <v>44958</v>
      </c>
      <c r="B27" s="4" t="n">
        <v>60600</v>
      </c>
      <c r="C27" s="4" t="n">
        <v>62600</v>
      </c>
      <c r="D27" s="4" t="n">
        <v>64000</v>
      </c>
      <c r="E27" s="4" t="n">
        <v>60200</v>
      </c>
      <c r="F27" s="4" t="n">
        <v>254240000</v>
      </c>
      <c r="G27" s="5" t="n">
        <v>-0.0066</v>
      </c>
    </row>
    <row r="28" customFormat="false" ht="15" hidden="false" customHeight="false" outlineLevel="0" collapsed="false">
      <c r="A28" s="3" t="n">
        <v>44986</v>
      </c>
      <c r="B28" s="4" t="n">
        <v>64000</v>
      </c>
      <c r="C28" s="4" t="n">
        <v>60900</v>
      </c>
      <c r="D28" s="4" t="n">
        <v>64000</v>
      </c>
      <c r="E28" s="4" t="n">
        <v>59000</v>
      </c>
      <c r="F28" s="4" t="n">
        <v>267110000</v>
      </c>
      <c r="G28" s="5" t="n">
        <v>0.0561</v>
      </c>
    </row>
    <row r="29" customFormat="false" ht="15" hidden="false" customHeight="false" outlineLevel="0" collapsed="false">
      <c r="A29" s="3" t="n">
        <v>45017</v>
      </c>
      <c r="B29" s="4" t="n">
        <v>65500</v>
      </c>
      <c r="C29" s="4" t="n">
        <v>64000</v>
      </c>
      <c r="D29" s="4" t="n">
        <v>66600</v>
      </c>
      <c r="E29" s="4" t="n">
        <v>62300</v>
      </c>
      <c r="F29" s="4" t="n">
        <v>286750000</v>
      </c>
      <c r="G29" s="5" t="n">
        <v>0.0234</v>
      </c>
    </row>
    <row r="30" customFormat="false" ht="15" hidden="false" customHeight="false" outlineLevel="0" collapsed="false">
      <c r="A30" s="3" t="n">
        <v>45047</v>
      </c>
      <c r="B30" s="4" t="n">
        <v>71400</v>
      </c>
      <c r="C30" s="4" t="n">
        <v>66000</v>
      </c>
      <c r="D30" s="4" t="n">
        <v>72500</v>
      </c>
      <c r="E30" s="4" t="n">
        <v>63600</v>
      </c>
      <c r="F30" s="4" t="n">
        <v>262390000</v>
      </c>
      <c r="G30" s="5" t="n">
        <v>0.0901</v>
      </c>
    </row>
    <row r="31" customFormat="false" ht="15" hidden="false" customHeight="false" outlineLevel="0" collapsed="false">
      <c r="A31" s="3" t="n">
        <v>45078</v>
      </c>
      <c r="B31" s="4" t="n">
        <v>72200</v>
      </c>
      <c r="C31" s="4" t="n">
        <v>70900</v>
      </c>
      <c r="D31" s="4" t="n">
        <v>73400</v>
      </c>
      <c r="E31" s="4" t="n">
        <v>70000</v>
      </c>
      <c r="F31" s="4" t="n">
        <v>260700000</v>
      </c>
      <c r="G31" s="5" t="n">
        <v>0.0112</v>
      </c>
    </row>
    <row r="32" customFormat="false" ht="15" hidden="false" customHeight="false" outlineLevel="0" collapsed="false">
      <c r="A32" s="3" t="n">
        <v>45108</v>
      </c>
      <c r="B32" s="4" t="n">
        <v>69800</v>
      </c>
      <c r="C32" s="4" t="n">
        <v>72700</v>
      </c>
      <c r="D32" s="4" t="n">
        <v>73600</v>
      </c>
      <c r="E32" s="4" t="n">
        <v>68100</v>
      </c>
      <c r="F32" s="4" t="n">
        <v>299150000</v>
      </c>
      <c r="G32" s="5" t="n">
        <v>-0.0332</v>
      </c>
    </row>
    <row r="33" customFormat="false" ht="15" hidden="false" customHeight="false" outlineLevel="0" collapsed="false">
      <c r="A33" s="3" t="n">
        <v>45139</v>
      </c>
      <c r="B33" s="4" t="n">
        <v>66900</v>
      </c>
      <c r="C33" s="4" t="n">
        <v>70100</v>
      </c>
      <c r="D33" s="4" t="n">
        <v>71200</v>
      </c>
      <c r="E33" s="4" t="n">
        <v>65800</v>
      </c>
      <c r="F33" s="4" t="n">
        <v>254860000</v>
      </c>
      <c r="G33" s="5" t="n">
        <v>-0.0415</v>
      </c>
    </row>
    <row r="34" customFormat="false" ht="15" hidden="false" customHeight="false" outlineLevel="0" collapsed="false">
      <c r="A34" s="3" t="n">
        <v>45170</v>
      </c>
      <c r="B34" s="4" t="n">
        <v>68400</v>
      </c>
      <c r="C34" s="4" t="n">
        <v>66800</v>
      </c>
      <c r="D34" s="4" t="n">
        <v>72900</v>
      </c>
      <c r="E34" s="4" t="n">
        <v>66700</v>
      </c>
      <c r="F34" s="4" t="n">
        <v>278120000</v>
      </c>
      <c r="G34" s="5" t="n">
        <v>0.0224</v>
      </c>
    </row>
    <row r="35" customFormat="false" ht="15" hidden="false" customHeight="false" outlineLevel="0" collapsed="false">
      <c r="A35" s="3" t="n">
        <v>45200</v>
      </c>
      <c r="B35" s="4" t="n">
        <v>66900</v>
      </c>
      <c r="C35" s="4" t="n">
        <v>67400</v>
      </c>
      <c r="D35" s="4" t="n">
        <v>70500</v>
      </c>
      <c r="E35" s="4" t="n">
        <v>66000</v>
      </c>
      <c r="F35" s="4" t="n">
        <v>279990000</v>
      </c>
      <c r="G35" s="5" t="n">
        <v>-0.0219</v>
      </c>
    </row>
    <row r="36" customFormat="false" ht="15" hidden="false" customHeight="false" outlineLevel="0" collapsed="false">
      <c r="A36" s="3" t="n">
        <v>45231</v>
      </c>
      <c r="B36" s="4" t="n">
        <v>72800</v>
      </c>
      <c r="C36" s="4" t="n">
        <v>67500</v>
      </c>
      <c r="D36" s="4" t="n">
        <v>73400</v>
      </c>
      <c r="E36" s="4" t="n">
        <v>67300</v>
      </c>
      <c r="F36" s="4" t="n">
        <v>267810000</v>
      </c>
      <c r="G36" s="5" t="n">
        <v>0.0882</v>
      </c>
    </row>
    <row r="37" customFormat="false" ht="15" hidden="false" customHeight="false" outlineLevel="0" collapsed="false">
      <c r="A37" s="3" t="n">
        <v>45261</v>
      </c>
      <c r="B37" s="4" t="n">
        <v>78500</v>
      </c>
      <c r="C37" s="4" t="n">
        <v>72400</v>
      </c>
      <c r="D37" s="4" t="n">
        <v>78500</v>
      </c>
      <c r="E37" s="4" t="n">
        <v>71100</v>
      </c>
      <c r="F37" s="4" t="n">
        <v>250850000</v>
      </c>
      <c r="G37" s="5" t="n">
        <v>0.0783</v>
      </c>
    </row>
    <row r="38" customFormat="false" ht="15" hidden="false" customHeight="false" outlineLevel="0" collapsed="false">
      <c r="A38" s="3" t="n">
        <v>45292</v>
      </c>
      <c r="B38" s="4" t="n">
        <v>72700</v>
      </c>
      <c r="C38" s="4" t="n">
        <v>78200</v>
      </c>
      <c r="D38" s="4" t="n">
        <v>79800</v>
      </c>
      <c r="E38" s="4" t="n">
        <v>70700</v>
      </c>
      <c r="F38" s="4" t="n">
        <v>361930000</v>
      </c>
      <c r="G38" s="5" t="n">
        <v>-0.0739</v>
      </c>
    </row>
    <row r="39" customFormat="false" ht="15" hidden="false" customHeight="false" outlineLevel="0" collapsed="false">
      <c r="A39" s="3" t="n">
        <v>45323</v>
      </c>
      <c r="B39" s="4" t="n">
        <v>73400</v>
      </c>
      <c r="C39" s="4" t="n">
        <v>73000</v>
      </c>
      <c r="D39" s="4" t="n">
        <v>75500</v>
      </c>
      <c r="E39" s="4" t="n">
        <v>72000</v>
      </c>
      <c r="F39" s="4" t="n">
        <v>291950000</v>
      </c>
      <c r="G39" s="5" t="n">
        <v>0.0096</v>
      </c>
    </row>
    <row r="40" customFormat="false" ht="15" hidden="false" customHeight="false" outlineLevel="0" collapsed="false">
      <c r="A40" s="3" t="n">
        <v>45352</v>
      </c>
      <c r="B40" s="4" t="n">
        <v>82400</v>
      </c>
      <c r="C40" s="4" t="n">
        <v>74300</v>
      </c>
      <c r="D40" s="4" t="n">
        <v>82500</v>
      </c>
      <c r="E40" s="4" t="n">
        <v>71700</v>
      </c>
      <c r="F40" s="4" t="n">
        <v>435840000</v>
      </c>
      <c r="G40" s="5" t="n">
        <v>0.1226</v>
      </c>
    </row>
    <row r="41" customFormat="false" ht="15" hidden="false" customHeight="false" outlineLevel="0" collapsed="false">
      <c r="A41" s="3" t="n">
        <v>45383</v>
      </c>
      <c r="B41" s="4" t="n">
        <v>77500</v>
      </c>
      <c r="C41" s="4" t="n">
        <v>83200</v>
      </c>
      <c r="D41" s="4" t="n">
        <v>86000</v>
      </c>
      <c r="E41" s="4" t="n">
        <v>75100</v>
      </c>
      <c r="F41" s="4" t="n">
        <v>470820000</v>
      </c>
      <c r="G41" s="5" t="n">
        <v>-0.0595</v>
      </c>
    </row>
    <row r="42" customFormat="false" ht="15" hidden="false" customHeight="false" outlineLevel="0" collapsed="false">
      <c r="A42" s="3" t="n">
        <v>45413</v>
      </c>
      <c r="B42" s="4" t="n">
        <v>73500</v>
      </c>
      <c r="C42" s="4" t="n">
        <v>77600</v>
      </c>
      <c r="D42" s="4" t="n">
        <v>81500</v>
      </c>
      <c r="E42" s="4" t="n">
        <v>73500</v>
      </c>
      <c r="F42" s="4" t="n">
        <v>411050000</v>
      </c>
      <c r="G42" s="5" t="n">
        <v>-0.0516</v>
      </c>
    </row>
    <row r="43" customFormat="false" ht="15" hidden="false" customHeight="false" outlineLevel="0" collapsed="false">
      <c r="A43" s="3" t="n">
        <v>45444</v>
      </c>
      <c r="B43" s="4" t="n">
        <v>81500</v>
      </c>
      <c r="C43" s="4" t="n">
        <v>74400</v>
      </c>
      <c r="D43" s="4" t="n">
        <v>82500</v>
      </c>
      <c r="E43" s="4" t="n">
        <v>74200</v>
      </c>
      <c r="F43" s="4" t="n">
        <v>337050000</v>
      </c>
      <c r="G43" s="5" t="n">
        <v>0.1088</v>
      </c>
    </row>
    <row r="44" customFormat="false" ht="15" hidden="false" customHeight="false" outlineLevel="0" collapsed="false">
      <c r="A44" s="3" t="n">
        <v>45474</v>
      </c>
      <c r="B44" s="4" t="n">
        <v>83900</v>
      </c>
      <c r="C44" s="4" t="n">
        <v>81500</v>
      </c>
      <c r="D44" s="4" t="n">
        <v>88800</v>
      </c>
      <c r="E44" s="4" t="n">
        <v>80000</v>
      </c>
      <c r="F44" s="4" t="n">
        <v>466610000</v>
      </c>
      <c r="G44" s="5" t="n">
        <v>0.0294</v>
      </c>
    </row>
    <row r="45" customFormat="false" ht="15" hidden="false" customHeight="false" outlineLevel="0" collapsed="false">
      <c r="A45" s="3" t="n">
        <v>45505</v>
      </c>
      <c r="B45" s="4" t="n">
        <v>74300</v>
      </c>
      <c r="C45" s="4" t="n">
        <v>86000</v>
      </c>
      <c r="D45" s="4" t="n">
        <v>86100</v>
      </c>
      <c r="E45" s="4" t="n">
        <v>70200</v>
      </c>
      <c r="F45" s="4" t="n">
        <v>393210000</v>
      </c>
      <c r="G45" s="5" t="n">
        <v>-0.1144</v>
      </c>
    </row>
    <row r="46" customFormat="false" ht="15" hidden="false" customHeight="false" outlineLevel="0" collapsed="false">
      <c r="A46" s="3" t="n">
        <v>45536</v>
      </c>
      <c r="B46" s="4" t="n">
        <v>61500</v>
      </c>
      <c r="C46" s="4" t="n">
        <v>74500</v>
      </c>
      <c r="D46" s="4" t="n">
        <v>74700</v>
      </c>
      <c r="E46" s="4" t="n">
        <v>61500</v>
      </c>
      <c r="F46" s="4" t="n">
        <v>506040000</v>
      </c>
      <c r="G46" s="5" t="n">
        <v>-0.1723</v>
      </c>
    </row>
    <row r="47" customFormat="false" ht="15" hidden="false" customHeight="false" outlineLevel="0" collapsed="false">
      <c r="A47" s="3" t="n">
        <v>45566</v>
      </c>
      <c r="B47" s="4" t="n">
        <v>59200</v>
      </c>
      <c r="C47" s="4" t="n">
        <v>60500</v>
      </c>
      <c r="D47" s="4" t="n">
        <v>61900</v>
      </c>
      <c r="E47" s="4" t="n">
        <v>55700</v>
      </c>
      <c r="F47" s="4" t="n">
        <v>525760000</v>
      </c>
      <c r="G47" s="5" t="n">
        <v>-0.0374</v>
      </c>
    </row>
    <row r="48" customFormat="false" ht="15" hidden="false" customHeight="false" outlineLevel="0" collapsed="false">
      <c r="A48" s="3" t="n">
        <v>45597</v>
      </c>
      <c r="B48" s="4" t="n">
        <v>54200</v>
      </c>
      <c r="C48" s="4" t="n">
        <v>59000</v>
      </c>
      <c r="D48" s="4" t="n">
        <v>59600</v>
      </c>
      <c r="E48" s="4" t="n">
        <v>49900</v>
      </c>
      <c r="F48" s="4" t="n">
        <v>562070000</v>
      </c>
      <c r="G48" s="5" t="n">
        <v>-0.0845</v>
      </c>
    </row>
    <row r="49" customFormat="false" ht="15" hidden="false" customHeight="false" outlineLevel="0" collapsed="false">
      <c r="A49" s="3" t="n">
        <v>45627</v>
      </c>
      <c r="B49" s="4" t="n">
        <v>53200</v>
      </c>
      <c r="C49" s="4" t="n">
        <v>54300</v>
      </c>
      <c r="D49" s="4" t="n">
        <v>56600</v>
      </c>
      <c r="E49" s="4" t="n">
        <v>51900</v>
      </c>
      <c r="F49" s="4" t="n">
        <v>382740000</v>
      </c>
      <c r="G49" s="5" t="n">
        <v>-0.0185</v>
      </c>
    </row>
    <row r="50" customFormat="false" ht="15" hidden="false" customHeight="false" outlineLevel="0" collapsed="false">
      <c r="A50" s="3" t="n">
        <v>45658</v>
      </c>
      <c r="B50" s="4" t="n">
        <v>52400</v>
      </c>
      <c r="C50" s="4" t="n">
        <v>52700</v>
      </c>
      <c r="D50" s="4" t="n">
        <v>57700</v>
      </c>
      <c r="E50" s="4" t="n">
        <v>51700</v>
      </c>
      <c r="F50" s="4" t="n">
        <v>338450000</v>
      </c>
      <c r="G50" s="5" t="n">
        <v>-0.015</v>
      </c>
    </row>
    <row r="51" customFormat="false" ht="15" hidden="false" customHeight="false" outlineLevel="0" collapsed="false">
      <c r="A51" s="3" t="n">
        <v>45689</v>
      </c>
      <c r="B51" s="4" t="n">
        <v>54500</v>
      </c>
      <c r="C51" s="4" t="n">
        <v>51100</v>
      </c>
      <c r="D51" s="4" t="n">
        <v>59100</v>
      </c>
      <c r="E51" s="4" t="n">
        <v>50800</v>
      </c>
      <c r="F51" s="4" t="n">
        <v>410940000</v>
      </c>
      <c r="G51" s="5" t="n">
        <v>0.0401</v>
      </c>
    </row>
    <row r="52" customFormat="false" ht="15" hidden="false" customHeight="false" outlineLevel="0" collapsed="false">
      <c r="A52" s="3" t="n">
        <v>45717</v>
      </c>
      <c r="B52" s="4" t="n">
        <v>57800</v>
      </c>
      <c r="C52" s="4" t="n">
        <v>53900</v>
      </c>
      <c r="D52" s="4" t="n">
        <v>62000</v>
      </c>
      <c r="E52" s="4" t="n">
        <v>52500</v>
      </c>
      <c r="F52" s="4" t="n">
        <v>406860000</v>
      </c>
      <c r="G52" s="5" t="n">
        <v>0.0606</v>
      </c>
    </row>
    <row r="53" customFormat="false" ht="15" hidden="false" customHeight="false" outlineLevel="0" collapsed="false">
      <c r="A53" s="3" t="n">
        <v>45748</v>
      </c>
      <c r="B53" s="4" t="n">
        <v>55500</v>
      </c>
      <c r="C53" s="4" t="n">
        <v>58700</v>
      </c>
      <c r="D53" s="4" t="n">
        <v>59600</v>
      </c>
      <c r="E53" s="4" t="n">
        <v>52900</v>
      </c>
      <c r="F53" s="4" t="n">
        <v>314700000</v>
      </c>
      <c r="G53" s="5" t="n">
        <v>-0.0398</v>
      </c>
    </row>
    <row r="54" customFormat="false" ht="15" hidden="false" customHeight="false" outlineLevel="0" collapsed="false">
      <c r="A54" s="3" t="n">
        <v>45778</v>
      </c>
      <c r="B54" s="4" t="n">
        <v>56200</v>
      </c>
      <c r="C54" s="4" t="n">
        <v>55000</v>
      </c>
      <c r="D54" s="4" t="n">
        <v>58600</v>
      </c>
      <c r="E54" s="4" t="n">
        <v>53700</v>
      </c>
      <c r="F54" s="4" t="n">
        <v>261640000</v>
      </c>
      <c r="G54" s="5" t="n">
        <v>0.0126</v>
      </c>
    </row>
    <row r="55" customFormat="false" ht="15" hidden="false" customHeight="false" outlineLevel="0" collapsed="false">
      <c r="A55" s="3" t="n">
        <v>45809</v>
      </c>
      <c r="B55" s="4" t="n">
        <v>59800</v>
      </c>
      <c r="C55" s="4" t="n">
        <v>56300</v>
      </c>
      <c r="D55" s="4" t="n">
        <v>61600</v>
      </c>
      <c r="E55" s="4" t="n">
        <v>56200</v>
      </c>
      <c r="F55" s="4" t="n">
        <v>359470000</v>
      </c>
      <c r="G55" s="5" t="n">
        <v>0.0641</v>
      </c>
    </row>
    <row r="56" customFormat="false" ht="15" hidden="false" customHeight="false" outlineLevel="0" collapsed="false">
      <c r="A56" s="3" t="n">
        <v>45839</v>
      </c>
      <c r="B56" s="4" t="n">
        <v>71400</v>
      </c>
      <c r="C56" s="4" t="n">
        <v>60400</v>
      </c>
      <c r="D56" s="4" t="n">
        <v>74000</v>
      </c>
      <c r="E56" s="4" t="n">
        <v>59800</v>
      </c>
      <c r="F56" s="4" t="n">
        <v>488250000</v>
      </c>
      <c r="G56" s="5" t="n">
        <v>0.194</v>
      </c>
    </row>
    <row r="57" customFormat="false" ht="15" hidden="false" customHeight="false" outlineLevel="0" collapsed="false">
      <c r="A57" s="3" t="n">
        <v>45870</v>
      </c>
      <c r="B57" s="4" t="n">
        <v>69700</v>
      </c>
      <c r="C57" s="4" t="n">
        <v>70200</v>
      </c>
      <c r="D57" s="4" t="n">
        <v>72400</v>
      </c>
      <c r="E57" s="4" t="n">
        <v>68300</v>
      </c>
      <c r="F57" s="4" t="n">
        <v>280140000</v>
      </c>
      <c r="G57" s="5" t="n">
        <v>-0.0238</v>
      </c>
    </row>
    <row r="58" customFormat="false" ht="15" hidden="false" customHeight="false" outlineLevel="0" collapsed="false">
      <c r="A58" s="3" t="n">
        <v>45901</v>
      </c>
      <c r="B58" s="4" t="n">
        <v>83900</v>
      </c>
      <c r="C58" s="4" t="n">
        <v>68400</v>
      </c>
      <c r="D58" s="4" t="n">
        <v>86200</v>
      </c>
      <c r="E58" s="4" t="n">
        <v>67500</v>
      </c>
      <c r="F58" s="4" t="n">
        <v>400280000</v>
      </c>
      <c r="G58" s="5" t="n">
        <v>0.2037</v>
      </c>
    </row>
    <row r="59" customFormat="false" ht="15" hidden="false" customHeight="false" outlineLevel="0" collapsed="false">
      <c r="A59" s="3" t="n">
        <v>45931</v>
      </c>
      <c r="B59" s="4" t="n">
        <v>107500</v>
      </c>
      <c r="C59" s="4" t="n">
        <v>84900</v>
      </c>
      <c r="D59" s="4" t="n">
        <v>108600</v>
      </c>
      <c r="E59" s="4" t="n">
        <v>84700</v>
      </c>
      <c r="F59" s="4" t="n">
        <v>461210000</v>
      </c>
      <c r="G59" s="5" t="n">
        <v>0.2813</v>
      </c>
    </row>
    <row r="60" customFormat="false" ht="15" hidden="false" customHeight="false" outlineLevel="0" collapsed="false">
      <c r="A60" s="3" t="n">
        <v>45962</v>
      </c>
      <c r="B60" s="4" t="n">
        <v>100500</v>
      </c>
      <c r="C60" s="4" t="n">
        <v>106900</v>
      </c>
      <c r="D60" s="4" t="n">
        <v>112400</v>
      </c>
      <c r="E60" s="4" t="n">
        <v>94500</v>
      </c>
      <c r="F60" s="4" t="n">
        <v>467670000</v>
      </c>
      <c r="G60" s="5" t="n">
        <v>-0.0651</v>
      </c>
    </row>
    <row r="61" customFormat="false" ht="15" hidden="false" customHeight="false" outlineLevel="0" collapsed="false">
      <c r="A61" s="3" t="n">
        <v>45992</v>
      </c>
      <c r="B61" s="4" t="n">
        <v>119900</v>
      </c>
      <c r="C61" s="4" t="n">
        <v>102000</v>
      </c>
      <c r="D61" s="4" t="n">
        <v>121200</v>
      </c>
      <c r="E61" s="4" t="n">
        <v>99900</v>
      </c>
      <c r="F61" s="4" t="n">
        <v>382060000</v>
      </c>
      <c r="G61" s="5" t="n">
        <v>0.193</v>
      </c>
    </row>
    <row r="62" customFormat="false" ht="15" hidden="false" customHeight="false" outlineLevel="0" collapsed="false">
      <c r="A62" s="3" t="n">
        <v>46023</v>
      </c>
      <c r="B62" s="4" t="n">
        <v>160500</v>
      </c>
      <c r="C62" s="4" t="n">
        <v>120200</v>
      </c>
      <c r="D62" s="4" t="n">
        <v>166600</v>
      </c>
      <c r="E62" s="4" t="n">
        <v>120200</v>
      </c>
      <c r="F62" s="4" t="n">
        <v>639190000</v>
      </c>
      <c r="G62" s="5" t="n">
        <v>0.3386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15" hidden="false" customHeight="false" outlineLevel="0" collapsed="false">
      <c r="A2" s="3" t="n">
        <v>44197</v>
      </c>
      <c r="B2" s="6" t="n">
        <v>131.96</v>
      </c>
      <c r="C2" s="6" t="n">
        <v>133.52</v>
      </c>
      <c r="D2" s="6" t="n">
        <v>145.09</v>
      </c>
      <c r="E2" s="6" t="n">
        <v>126.38</v>
      </c>
      <c r="F2" s="4" t="n">
        <v>2240000000</v>
      </c>
      <c r="G2" s="5" t="n">
        <v>-0.0055</v>
      </c>
    </row>
    <row r="3" customFormat="false" ht="15" hidden="false" customHeight="false" outlineLevel="0" collapsed="false">
      <c r="A3" s="3" t="n">
        <v>44228</v>
      </c>
      <c r="B3" s="6" t="n">
        <v>121.26</v>
      </c>
      <c r="C3" s="6" t="n">
        <v>133.75</v>
      </c>
      <c r="D3" s="6" t="n">
        <v>137.88</v>
      </c>
      <c r="E3" s="6" t="n">
        <v>118.39</v>
      </c>
      <c r="F3" s="4" t="n">
        <v>1830000000</v>
      </c>
      <c r="G3" s="5" t="n">
        <v>-0.0811</v>
      </c>
    </row>
    <row r="4" customFormat="false" ht="15" hidden="false" customHeight="false" outlineLevel="0" collapsed="false">
      <c r="A4" s="3" t="n">
        <v>44256</v>
      </c>
      <c r="B4" s="6" t="n">
        <v>122.15</v>
      </c>
      <c r="C4" s="6" t="n">
        <v>123.75</v>
      </c>
      <c r="D4" s="6" t="n">
        <v>128.72</v>
      </c>
      <c r="E4" s="6" t="n">
        <v>116.21</v>
      </c>
      <c r="F4" s="4" t="n">
        <v>2650000000</v>
      </c>
      <c r="G4" s="5" t="n">
        <v>0.0073</v>
      </c>
    </row>
    <row r="5" customFormat="false" ht="15" hidden="false" customHeight="false" outlineLevel="0" collapsed="false">
      <c r="A5" s="3" t="n">
        <v>44287</v>
      </c>
      <c r="B5" s="6" t="n">
        <v>131.46</v>
      </c>
      <c r="C5" s="6" t="n">
        <v>123.66</v>
      </c>
      <c r="D5" s="6" t="n">
        <v>137.07</v>
      </c>
      <c r="E5" s="6" t="n">
        <v>122.49</v>
      </c>
      <c r="F5" s="4" t="n">
        <v>1890000000</v>
      </c>
      <c r="G5" s="5" t="n">
        <v>0.0762</v>
      </c>
    </row>
    <row r="6" customFormat="false" ht="15" hidden="false" customHeight="false" outlineLevel="0" collapsed="false">
      <c r="A6" s="3" t="n">
        <v>44317</v>
      </c>
      <c r="B6" s="6" t="n">
        <v>124.61</v>
      </c>
      <c r="C6" s="6" t="n">
        <v>132.04</v>
      </c>
      <c r="D6" s="6" t="n">
        <v>134.07</v>
      </c>
      <c r="E6" s="6" t="n">
        <v>122.25</v>
      </c>
      <c r="F6" s="4" t="n">
        <v>1710000000</v>
      </c>
      <c r="G6" s="5" t="n">
        <v>-0.0521</v>
      </c>
    </row>
    <row r="7" customFormat="false" ht="15" hidden="false" customHeight="false" outlineLevel="0" collapsed="false">
      <c r="A7" s="3" t="n">
        <v>44348</v>
      </c>
      <c r="B7" s="6" t="n">
        <v>136.96</v>
      </c>
      <c r="C7" s="6" t="n">
        <v>125.08</v>
      </c>
      <c r="D7" s="6" t="n">
        <v>137.41</v>
      </c>
      <c r="E7" s="6" t="n">
        <v>123.13</v>
      </c>
      <c r="F7" s="4" t="n">
        <v>1610000000</v>
      </c>
      <c r="G7" s="5" t="n">
        <v>0.0991</v>
      </c>
    </row>
    <row r="8" customFormat="false" ht="15" hidden="false" customHeight="false" outlineLevel="0" collapsed="false">
      <c r="A8" s="3" t="n">
        <v>44378</v>
      </c>
      <c r="B8" s="6" t="n">
        <v>145.86</v>
      </c>
      <c r="C8" s="6" t="n">
        <v>136.6</v>
      </c>
      <c r="D8" s="6" t="n">
        <v>150</v>
      </c>
      <c r="E8" s="6" t="n">
        <v>135.76</v>
      </c>
      <c r="F8" s="4" t="n">
        <v>1920000000</v>
      </c>
      <c r="G8" s="5" t="n">
        <v>0.065</v>
      </c>
    </row>
    <row r="9" customFormat="false" ht="15" hidden="false" customHeight="false" outlineLevel="0" collapsed="false">
      <c r="A9" s="3" t="n">
        <v>44409</v>
      </c>
      <c r="B9" s="6" t="n">
        <v>151.83</v>
      </c>
      <c r="C9" s="6" t="n">
        <v>146.36</v>
      </c>
      <c r="D9" s="6" t="n">
        <v>153.49</v>
      </c>
      <c r="E9" s="6" t="n">
        <v>144.5</v>
      </c>
      <c r="F9" s="4" t="n">
        <v>1460000000</v>
      </c>
      <c r="G9" s="5" t="n">
        <v>0.0409</v>
      </c>
    </row>
    <row r="10" customFormat="false" ht="15" hidden="false" customHeight="false" outlineLevel="0" collapsed="false">
      <c r="A10" s="3" t="n">
        <v>44440</v>
      </c>
      <c r="B10" s="6" t="n">
        <v>141.5</v>
      </c>
      <c r="C10" s="6" t="n">
        <v>152.83</v>
      </c>
      <c r="D10" s="6" t="n">
        <v>157.26</v>
      </c>
      <c r="E10" s="6" t="n">
        <v>141.27</v>
      </c>
      <c r="F10" s="4" t="n">
        <v>1800000000</v>
      </c>
      <c r="G10" s="5" t="n">
        <v>-0.068</v>
      </c>
    </row>
    <row r="11" customFormat="false" ht="15" hidden="false" customHeight="false" outlineLevel="0" collapsed="false">
      <c r="A11" s="3" t="n">
        <v>44470</v>
      </c>
      <c r="B11" s="6" t="n">
        <v>149.8</v>
      </c>
      <c r="C11" s="6" t="n">
        <v>141.9</v>
      </c>
      <c r="D11" s="6" t="n">
        <v>153.16</v>
      </c>
      <c r="E11" s="6" t="n">
        <v>138.27</v>
      </c>
      <c r="F11" s="4" t="n">
        <v>1570000000</v>
      </c>
      <c r="G11" s="5" t="n">
        <v>0.0587</v>
      </c>
    </row>
    <row r="12" customFormat="false" ht="15" hidden="false" customHeight="false" outlineLevel="0" collapsed="false">
      <c r="A12" s="3" t="n">
        <v>44501</v>
      </c>
      <c r="B12" s="6" t="n">
        <v>165.3</v>
      </c>
      <c r="C12" s="6" t="n">
        <v>148.99</v>
      </c>
      <c r="D12" s="6" t="n">
        <v>165.7</v>
      </c>
      <c r="E12" s="6" t="n">
        <v>147.48</v>
      </c>
      <c r="F12" s="4" t="n">
        <v>1690000000</v>
      </c>
      <c r="G12" s="5" t="n">
        <v>0.1035</v>
      </c>
    </row>
    <row r="13" customFormat="false" ht="15" hidden="false" customHeight="false" outlineLevel="0" collapsed="false">
      <c r="A13" s="3" t="n">
        <v>44531</v>
      </c>
      <c r="B13" s="6" t="n">
        <v>177.57</v>
      </c>
      <c r="C13" s="6" t="n">
        <v>167.48</v>
      </c>
      <c r="D13" s="6" t="n">
        <v>182.13</v>
      </c>
      <c r="E13" s="6" t="n">
        <v>157.8</v>
      </c>
      <c r="F13" s="4" t="n">
        <v>2450000000</v>
      </c>
      <c r="G13" s="5" t="n">
        <v>0.0742</v>
      </c>
    </row>
    <row r="14" customFormat="false" ht="15" hidden="false" customHeight="false" outlineLevel="0" collapsed="false">
      <c r="A14" s="3" t="n">
        <v>44562</v>
      </c>
      <c r="B14" s="6" t="n">
        <v>174.78</v>
      </c>
      <c r="C14" s="6" t="n">
        <v>177.83</v>
      </c>
      <c r="D14" s="6" t="n">
        <v>182.94</v>
      </c>
      <c r="E14" s="6" t="n">
        <v>154.7</v>
      </c>
      <c r="F14" s="4" t="n">
        <v>2110000000</v>
      </c>
      <c r="G14" s="5" t="n">
        <v>-0.0157</v>
      </c>
    </row>
    <row r="15" customFormat="false" ht="15" hidden="false" customHeight="false" outlineLevel="0" collapsed="false">
      <c r="A15" s="3" t="n">
        <v>44593</v>
      </c>
      <c r="B15" s="6" t="n">
        <v>165.12</v>
      </c>
      <c r="C15" s="6" t="n">
        <v>174.01</v>
      </c>
      <c r="D15" s="6" t="n">
        <v>176.65</v>
      </c>
      <c r="E15" s="6" t="n">
        <v>152</v>
      </c>
      <c r="F15" s="4" t="n">
        <v>1630000000</v>
      </c>
      <c r="G15" s="5" t="n">
        <v>-0.0553</v>
      </c>
    </row>
    <row r="16" customFormat="false" ht="15" hidden="false" customHeight="false" outlineLevel="0" collapsed="false">
      <c r="A16" s="3" t="n">
        <v>44621</v>
      </c>
      <c r="B16" s="6" t="n">
        <v>174.61</v>
      </c>
      <c r="C16" s="6" t="n">
        <v>164.7</v>
      </c>
      <c r="D16" s="6" t="n">
        <v>179.61</v>
      </c>
      <c r="E16" s="6" t="n">
        <v>150.1</v>
      </c>
      <c r="F16" s="4" t="n">
        <v>2180000000</v>
      </c>
      <c r="G16" s="5" t="n">
        <v>0.0575</v>
      </c>
    </row>
    <row r="17" customFormat="false" ht="15" hidden="false" customHeight="false" outlineLevel="0" collapsed="false">
      <c r="A17" s="3" t="n">
        <v>44652</v>
      </c>
      <c r="B17" s="6" t="n">
        <v>157.65</v>
      </c>
      <c r="C17" s="6" t="n">
        <v>174.03</v>
      </c>
      <c r="D17" s="6" t="n">
        <v>178.49</v>
      </c>
      <c r="E17" s="6" t="n">
        <v>155.38</v>
      </c>
      <c r="F17" s="4" t="n">
        <v>1690000000</v>
      </c>
      <c r="G17" s="5" t="n">
        <v>-0.0971</v>
      </c>
    </row>
    <row r="18" customFormat="false" ht="15" hidden="false" customHeight="false" outlineLevel="0" collapsed="false">
      <c r="A18" s="3" t="n">
        <v>44682</v>
      </c>
      <c r="B18" s="6" t="n">
        <v>148.84</v>
      </c>
      <c r="C18" s="6" t="n">
        <v>156.71</v>
      </c>
      <c r="D18" s="6" t="n">
        <v>166.48</v>
      </c>
      <c r="E18" s="6" t="n">
        <v>132.61</v>
      </c>
      <c r="F18" s="4" t="n">
        <v>2400000000</v>
      </c>
      <c r="G18" s="5" t="n">
        <v>-0.0559</v>
      </c>
    </row>
    <row r="19" customFormat="false" ht="15" hidden="false" customHeight="false" outlineLevel="0" collapsed="false">
      <c r="A19" s="3" t="n">
        <v>44713</v>
      </c>
      <c r="B19" s="6" t="n">
        <v>136.72</v>
      </c>
      <c r="C19" s="6" t="n">
        <v>149.9</v>
      </c>
      <c r="D19" s="6" t="n">
        <v>151.74</v>
      </c>
      <c r="E19" s="6" t="n">
        <v>129.04</v>
      </c>
      <c r="F19" s="4" t="n">
        <v>1750000000</v>
      </c>
      <c r="G19" s="5" t="n">
        <v>-0.0814</v>
      </c>
    </row>
    <row r="20" customFormat="false" ht="15" hidden="false" customHeight="false" outlineLevel="0" collapsed="false">
      <c r="A20" s="3" t="n">
        <v>44743</v>
      </c>
      <c r="B20" s="6" t="n">
        <v>162.51</v>
      </c>
      <c r="C20" s="6" t="n">
        <v>136.04</v>
      </c>
      <c r="D20" s="6" t="n">
        <v>163.63</v>
      </c>
      <c r="E20" s="6" t="n">
        <v>135.66</v>
      </c>
      <c r="F20" s="4" t="n">
        <v>1450000000</v>
      </c>
      <c r="G20" s="5" t="n">
        <v>0.1886</v>
      </c>
    </row>
    <row r="21" customFormat="false" ht="15" hidden="false" customHeight="false" outlineLevel="0" collapsed="false">
      <c r="A21" s="3" t="n">
        <v>44774</v>
      </c>
      <c r="B21" s="6" t="n">
        <v>157.22</v>
      </c>
      <c r="C21" s="6" t="n">
        <v>161.01</v>
      </c>
      <c r="D21" s="6" t="n">
        <v>176.15</v>
      </c>
      <c r="E21" s="6" t="n">
        <v>157.14</v>
      </c>
      <c r="F21" s="4" t="n">
        <v>1510000000</v>
      </c>
      <c r="G21" s="5" t="n">
        <v>-0.0326</v>
      </c>
    </row>
    <row r="22" customFormat="false" ht="15" hidden="false" customHeight="false" outlineLevel="0" collapsed="false">
      <c r="A22" s="3" t="n">
        <v>44805</v>
      </c>
      <c r="B22" s="6" t="n">
        <v>138.2</v>
      </c>
      <c r="C22" s="6" t="n">
        <v>156.64</v>
      </c>
      <c r="D22" s="6" t="n">
        <v>164.26</v>
      </c>
      <c r="E22" s="6" t="n">
        <v>138</v>
      </c>
      <c r="F22" s="4" t="n">
        <v>2080000000</v>
      </c>
      <c r="G22" s="5" t="n">
        <v>-0.121</v>
      </c>
    </row>
    <row r="23" customFormat="false" ht="15" hidden="false" customHeight="false" outlineLevel="0" collapsed="false">
      <c r="A23" s="3" t="n">
        <v>44835</v>
      </c>
      <c r="B23" s="6" t="n">
        <v>153.34</v>
      </c>
      <c r="C23" s="6" t="n">
        <v>138.21</v>
      </c>
      <c r="D23" s="6" t="n">
        <v>157.5</v>
      </c>
      <c r="E23" s="6" t="n">
        <v>134.37</v>
      </c>
      <c r="F23" s="4" t="n">
        <v>1870000000</v>
      </c>
      <c r="G23" s="5" t="n">
        <v>0.1096</v>
      </c>
    </row>
    <row r="24" customFormat="false" ht="15" hidden="false" customHeight="false" outlineLevel="0" collapsed="false">
      <c r="A24" s="3" t="n">
        <v>44866</v>
      </c>
      <c r="B24" s="6" t="n">
        <v>148.03</v>
      </c>
      <c r="C24" s="6" t="n">
        <v>155.08</v>
      </c>
      <c r="D24" s="6" t="n">
        <v>155.45</v>
      </c>
      <c r="E24" s="6" t="n">
        <v>134.38</v>
      </c>
      <c r="F24" s="4" t="n">
        <v>1720000000</v>
      </c>
      <c r="G24" s="5" t="n">
        <v>-0.0346</v>
      </c>
    </row>
    <row r="25" customFormat="false" ht="15" hidden="false" customHeight="false" outlineLevel="0" collapsed="false">
      <c r="A25" s="3" t="n">
        <v>44896</v>
      </c>
      <c r="B25" s="6" t="n">
        <v>129.93</v>
      </c>
      <c r="C25" s="6" t="n">
        <v>148.21</v>
      </c>
      <c r="D25" s="6" t="n">
        <v>150.92</v>
      </c>
      <c r="E25" s="6" t="n">
        <v>125.87</v>
      </c>
      <c r="F25" s="4" t="n">
        <v>1680000000</v>
      </c>
      <c r="G25" s="5" t="n">
        <v>-0.1223</v>
      </c>
    </row>
    <row r="26" customFormat="false" ht="15" hidden="false" customHeight="false" outlineLevel="0" collapsed="false">
      <c r="A26" s="3" t="n">
        <v>44927</v>
      </c>
      <c r="B26" s="6" t="n">
        <v>144.29</v>
      </c>
      <c r="C26" s="6" t="n">
        <v>130.28</v>
      </c>
      <c r="D26" s="6" t="n">
        <v>147.23</v>
      </c>
      <c r="E26" s="6" t="n">
        <v>124.17</v>
      </c>
      <c r="F26" s="4" t="n">
        <v>1440000000</v>
      </c>
      <c r="G26" s="5" t="n">
        <v>0.1105</v>
      </c>
    </row>
    <row r="27" customFormat="false" ht="15" hidden="false" customHeight="false" outlineLevel="0" collapsed="false">
      <c r="A27" s="3" t="n">
        <v>44958</v>
      </c>
      <c r="B27" s="6" t="n">
        <v>147.41</v>
      </c>
      <c r="C27" s="6" t="n">
        <v>143.97</v>
      </c>
      <c r="D27" s="6" t="n">
        <v>157.38</v>
      </c>
      <c r="E27" s="6" t="n">
        <v>141.32</v>
      </c>
      <c r="F27" s="4" t="n">
        <v>1310000000</v>
      </c>
      <c r="G27" s="5" t="n">
        <v>0.0216</v>
      </c>
    </row>
    <row r="28" customFormat="false" ht="15" hidden="false" customHeight="false" outlineLevel="0" collapsed="false">
      <c r="A28" s="3" t="n">
        <v>44986</v>
      </c>
      <c r="B28" s="6" t="n">
        <v>164.9</v>
      </c>
      <c r="C28" s="6" t="n">
        <v>146.83</v>
      </c>
      <c r="D28" s="6" t="n">
        <v>165</v>
      </c>
      <c r="E28" s="6" t="n">
        <v>143.9</v>
      </c>
      <c r="F28" s="4" t="n">
        <v>1520000000</v>
      </c>
      <c r="G28" s="5" t="n">
        <v>0.1186</v>
      </c>
    </row>
    <row r="29" customFormat="false" ht="15" hidden="false" customHeight="false" outlineLevel="0" collapsed="false">
      <c r="A29" s="3" t="n">
        <v>45017</v>
      </c>
      <c r="B29" s="6" t="n">
        <v>169.68</v>
      </c>
      <c r="C29" s="6" t="n">
        <v>164.27</v>
      </c>
      <c r="D29" s="6" t="n">
        <v>169.85</v>
      </c>
      <c r="E29" s="6" t="n">
        <v>159.78</v>
      </c>
      <c r="F29" s="4" t="n">
        <v>969780000</v>
      </c>
      <c r="G29" s="5" t="n">
        <v>0.029</v>
      </c>
    </row>
    <row r="30" customFormat="false" ht="15" hidden="false" customHeight="false" outlineLevel="0" collapsed="false">
      <c r="A30" s="3" t="n">
        <v>45047</v>
      </c>
      <c r="B30" s="6" t="n">
        <v>177.25</v>
      </c>
      <c r="C30" s="6" t="n">
        <v>169.28</v>
      </c>
      <c r="D30" s="6" t="n">
        <v>179.35</v>
      </c>
      <c r="E30" s="6" t="n">
        <v>164.31</v>
      </c>
      <c r="F30" s="4" t="n">
        <v>1280000000</v>
      </c>
      <c r="G30" s="5" t="n">
        <v>0.0446</v>
      </c>
    </row>
    <row r="31" customFormat="false" ht="15" hidden="false" customHeight="false" outlineLevel="0" collapsed="false">
      <c r="A31" s="3" t="n">
        <v>45078</v>
      </c>
      <c r="B31" s="6" t="n">
        <v>193.97</v>
      </c>
      <c r="C31" s="6" t="n">
        <v>177.7</v>
      </c>
      <c r="D31" s="6" t="n">
        <v>194.48</v>
      </c>
      <c r="E31" s="6" t="n">
        <v>176.93</v>
      </c>
      <c r="F31" s="4" t="n">
        <v>1300000000</v>
      </c>
      <c r="G31" s="5" t="n">
        <v>0.0943</v>
      </c>
    </row>
    <row r="32" customFormat="false" ht="15" hidden="false" customHeight="false" outlineLevel="0" collapsed="false">
      <c r="A32" s="3" t="n">
        <v>45108</v>
      </c>
      <c r="B32" s="6" t="n">
        <v>196.45</v>
      </c>
      <c r="C32" s="6" t="n">
        <v>193.78</v>
      </c>
      <c r="D32" s="6" t="n">
        <v>198.23</v>
      </c>
      <c r="E32" s="6" t="n">
        <v>186.6</v>
      </c>
      <c r="F32" s="4" t="n">
        <v>996370000</v>
      </c>
      <c r="G32" s="5" t="n">
        <v>0.0128</v>
      </c>
    </row>
    <row r="33" customFormat="false" ht="15" hidden="false" customHeight="false" outlineLevel="0" collapsed="false">
      <c r="A33" s="3" t="n">
        <v>45139</v>
      </c>
      <c r="B33" s="6" t="n">
        <v>187.87</v>
      </c>
      <c r="C33" s="6" t="n">
        <v>196.24</v>
      </c>
      <c r="D33" s="6" t="n">
        <v>196.73</v>
      </c>
      <c r="E33" s="6" t="n">
        <v>171.96</v>
      </c>
      <c r="F33" s="4" t="n">
        <v>1320000000</v>
      </c>
      <c r="G33" s="5" t="n">
        <v>-0.0437</v>
      </c>
    </row>
    <row r="34" customFormat="false" ht="15" hidden="false" customHeight="false" outlineLevel="0" collapsed="false">
      <c r="A34" s="3" t="n">
        <v>45170</v>
      </c>
      <c r="B34" s="6" t="n">
        <v>171.21</v>
      </c>
      <c r="C34" s="6" t="n">
        <v>189.49</v>
      </c>
      <c r="D34" s="6" t="n">
        <v>189.98</v>
      </c>
      <c r="E34" s="6" t="n">
        <v>167.62</v>
      </c>
      <c r="F34" s="4" t="n">
        <v>1340000000</v>
      </c>
      <c r="G34" s="5" t="n">
        <v>-0.0887</v>
      </c>
    </row>
    <row r="35" customFormat="false" ht="15" hidden="false" customHeight="false" outlineLevel="0" collapsed="false">
      <c r="A35" s="3" t="n">
        <v>45200</v>
      </c>
      <c r="B35" s="6" t="n">
        <v>170.77</v>
      </c>
      <c r="C35" s="6" t="n">
        <v>171.22</v>
      </c>
      <c r="D35" s="6" t="n">
        <v>182.34</v>
      </c>
      <c r="E35" s="6" t="n">
        <v>165.67</v>
      </c>
      <c r="F35" s="4" t="n">
        <v>1170000000</v>
      </c>
      <c r="G35" s="5" t="n">
        <v>-0.0026</v>
      </c>
    </row>
    <row r="36" customFormat="false" ht="15" hidden="false" customHeight="false" outlineLevel="0" collapsed="false">
      <c r="A36" s="3" t="n">
        <v>45231</v>
      </c>
      <c r="B36" s="6" t="n">
        <v>189.95</v>
      </c>
      <c r="C36" s="6" t="n">
        <v>171</v>
      </c>
      <c r="D36" s="6" t="n">
        <v>192.93</v>
      </c>
      <c r="E36" s="6" t="n">
        <v>170.12</v>
      </c>
      <c r="F36" s="4" t="n">
        <v>1100000000</v>
      </c>
      <c r="G36" s="5" t="n">
        <v>0.1123</v>
      </c>
    </row>
    <row r="37" customFormat="false" ht="15" hidden="false" customHeight="false" outlineLevel="0" collapsed="false">
      <c r="A37" s="3" t="n">
        <v>45261</v>
      </c>
      <c r="B37" s="6" t="n">
        <v>192.53</v>
      </c>
      <c r="C37" s="6" t="n">
        <v>190.33</v>
      </c>
      <c r="D37" s="6" t="n">
        <v>199.62</v>
      </c>
      <c r="E37" s="6" t="n">
        <v>187.45</v>
      </c>
      <c r="F37" s="4" t="n">
        <v>1060000000</v>
      </c>
      <c r="G37" s="5" t="n">
        <v>0.0136</v>
      </c>
    </row>
    <row r="38" customFormat="false" ht="15" hidden="false" customHeight="false" outlineLevel="0" collapsed="false">
      <c r="A38" s="3" t="n">
        <v>45292</v>
      </c>
      <c r="B38" s="6" t="n">
        <v>184.4</v>
      </c>
      <c r="C38" s="6" t="n">
        <v>187.15</v>
      </c>
      <c r="D38" s="6" t="n">
        <v>196.38</v>
      </c>
      <c r="E38" s="6" t="n">
        <v>180.17</v>
      </c>
      <c r="F38" s="4" t="n">
        <v>1190000000</v>
      </c>
      <c r="G38" s="5" t="n">
        <v>-0.0422</v>
      </c>
    </row>
    <row r="39" customFormat="false" ht="15" hidden="false" customHeight="false" outlineLevel="0" collapsed="false">
      <c r="A39" s="3" t="n">
        <v>45323</v>
      </c>
      <c r="B39" s="6" t="n">
        <v>180.75</v>
      </c>
      <c r="C39" s="6" t="n">
        <v>183.99</v>
      </c>
      <c r="D39" s="6" t="n">
        <v>191.05</v>
      </c>
      <c r="E39" s="6" t="n">
        <v>179.25</v>
      </c>
      <c r="F39" s="4" t="n">
        <v>1160000000</v>
      </c>
      <c r="G39" s="5" t="n">
        <v>-0.0198</v>
      </c>
    </row>
    <row r="40" customFormat="false" ht="15" hidden="false" customHeight="false" outlineLevel="0" collapsed="false">
      <c r="A40" s="3" t="n">
        <v>45352</v>
      </c>
      <c r="B40" s="6" t="n">
        <v>171.48</v>
      </c>
      <c r="C40" s="6" t="n">
        <v>179.55</v>
      </c>
      <c r="D40" s="6" t="n">
        <v>180.53</v>
      </c>
      <c r="E40" s="6" t="n">
        <v>168.49</v>
      </c>
      <c r="F40" s="4" t="n">
        <v>1430000000</v>
      </c>
      <c r="G40" s="5" t="n">
        <v>-0.0513</v>
      </c>
    </row>
    <row r="41" customFormat="false" ht="15" hidden="false" customHeight="false" outlineLevel="0" collapsed="false">
      <c r="A41" s="3" t="n">
        <v>45383</v>
      </c>
      <c r="B41" s="6" t="n">
        <v>170.33</v>
      </c>
      <c r="C41" s="6" t="n">
        <v>171.19</v>
      </c>
      <c r="D41" s="6" t="n">
        <v>178.36</v>
      </c>
      <c r="E41" s="6" t="n">
        <v>164.07</v>
      </c>
      <c r="F41" s="4" t="n">
        <v>1250000000</v>
      </c>
      <c r="G41" s="5" t="n">
        <v>-0.0067</v>
      </c>
    </row>
    <row r="42" customFormat="false" ht="15" hidden="false" customHeight="false" outlineLevel="0" collapsed="false">
      <c r="A42" s="3" t="n">
        <v>45413</v>
      </c>
      <c r="B42" s="6" t="n">
        <v>192.25</v>
      </c>
      <c r="C42" s="6" t="n">
        <v>169.58</v>
      </c>
      <c r="D42" s="6" t="n">
        <v>193</v>
      </c>
      <c r="E42" s="6" t="n">
        <v>169.11</v>
      </c>
      <c r="F42" s="4" t="n">
        <v>1340000000</v>
      </c>
      <c r="G42" s="5" t="n">
        <v>0.1287</v>
      </c>
    </row>
    <row r="43" customFormat="false" ht="15" hidden="false" customHeight="false" outlineLevel="0" collapsed="false">
      <c r="A43" s="3" t="n">
        <v>45444</v>
      </c>
      <c r="B43" s="6" t="n">
        <v>210.62</v>
      </c>
      <c r="C43" s="6" t="n">
        <v>192.9</v>
      </c>
      <c r="D43" s="6" t="n">
        <v>220.2</v>
      </c>
      <c r="E43" s="6" t="n">
        <v>192.15</v>
      </c>
      <c r="F43" s="4" t="n">
        <v>1720000000</v>
      </c>
      <c r="G43" s="5" t="n">
        <v>0.0956</v>
      </c>
    </row>
    <row r="44" customFormat="false" ht="15" hidden="false" customHeight="false" outlineLevel="0" collapsed="false">
      <c r="A44" s="3" t="n">
        <v>45474</v>
      </c>
      <c r="B44" s="6" t="n">
        <v>222.08</v>
      </c>
      <c r="C44" s="6" t="n">
        <v>212.09</v>
      </c>
      <c r="D44" s="6" t="n">
        <v>237.23</v>
      </c>
      <c r="E44" s="6" t="n">
        <v>211.92</v>
      </c>
      <c r="F44" s="4" t="n">
        <v>1150000000</v>
      </c>
      <c r="G44" s="5" t="n">
        <v>0.0544</v>
      </c>
    </row>
    <row r="45" customFormat="false" ht="15" hidden="false" customHeight="false" outlineLevel="0" collapsed="false">
      <c r="A45" s="3" t="n">
        <v>45505</v>
      </c>
      <c r="B45" s="6" t="n">
        <v>229</v>
      </c>
      <c r="C45" s="6" t="n">
        <v>224.37</v>
      </c>
      <c r="D45" s="6" t="n">
        <v>232.92</v>
      </c>
      <c r="E45" s="6" t="n">
        <v>196</v>
      </c>
      <c r="F45" s="4" t="n">
        <v>1120000000</v>
      </c>
      <c r="G45" s="5" t="n">
        <v>0.0312</v>
      </c>
    </row>
    <row r="46" customFormat="false" ht="15" hidden="false" customHeight="false" outlineLevel="0" collapsed="false">
      <c r="A46" s="3" t="n">
        <v>45536</v>
      </c>
      <c r="B46" s="6" t="n">
        <v>233</v>
      </c>
      <c r="C46" s="6" t="n">
        <v>228.55</v>
      </c>
      <c r="D46" s="6" t="n">
        <v>233.09</v>
      </c>
      <c r="E46" s="6" t="n">
        <v>213.92</v>
      </c>
      <c r="F46" s="4" t="n">
        <v>1230000000</v>
      </c>
      <c r="G46" s="5" t="n">
        <v>0.0175</v>
      </c>
    </row>
    <row r="47" customFormat="false" ht="15" hidden="false" customHeight="false" outlineLevel="0" collapsed="false">
      <c r="A47" s="3" t="n">
        <v>45566</v>
      </c>
      <c r="B47" s="6" t="n">
        <v>225.91</v>
      </c>
      <c r="C47" s="6" t="n">
        <v>229.52</v>
      </c>
      <c r="D47" s="6" t="n">
        <v>237.49</v>
      </c>
      <c r="E47" s="6" t="n">
        <v>221.33</v>
      </c>
      <c r="F47" s="4" t="n">
        <v>930840000</v>
      </c>
      <c r="G47" s="5" t="n">
        <v>-0.0304</v>
      </c>
    </row>
    <row r="48" customFormat="false" ht="15" hidden="false" customHeight="false" outlineLevel="0" collapsed="false">
      <c r="A48" s="3" t="n">
        <v>45597</v>
      </c>
      <c r="B48" s="6" t="n">
        <v>237.33</v>
      </c>
      <c r="C48" s="6" t="n">
        <v>220.96</v>
      </c>
      <c r="D48" s="6" t="n">
        <v>237.81</v>
      </c>
      <c r="E48" s="6" t="n">
        <v>219.71</v>
      </c>
      <c r="F48" s="4" t="n">
        <v>891640000</v>
      </c>
      <c r="G48" s="5" t="n">
        <v>0.0506</v>
      </c>
    </row>
    <row r="49" customFormat="false" ht="15" hidden="false" customHeight="false" outlineLevel="0" collapsed="false">
      <c r="A49" s="3" t="n">
        <v>45627</v>
      </c>
      <c r="B49" s="6" t="n">
        <v>250.42</v>
      </c>
      <c r="C49" s="6" t="n">
        <v>237.27</v>
      </c>
      <c r="D49" s="6" t="n">
        <v>260.1</v>
      </c>
      <c r="E49" s="6" t="n">
        <v>237.16</v>
      </c>
      <c r="F49" s="4" t="n">
        <v>977940000</v>
      </c>
      <c r="G49" s="5" t="n">
        <v>0.0552</v>
      </c>
    </row>
    <row r="50" customFormat="false" ht="15" hidden="false" customHeight="false" outlineLevel="0" collapsed="false">
      <c r="A50" s="3" t="n">
        <v>45658</v>
      </c>
      <c r="B50" s="6" t="n">
        <v>236</v>
      </c>
      <c r="C50" s="6" t="n">
        <v>248.93</v>
      </c>
      <c r="D50" s="6" t="n">
        <v>249.1</v>
      </c>
      <c r="E50" s="6" t="n">
        <v>219.38</v>
      </c>
      <c r="F50" s="4" t="n">
        <v>1200000000</v>
      </c>
      <c r="G50" s="5" t="n">
        <v>-0.0576</v>
      </c>
    </row>
    <row r="51" customFormat="false" ht="15" hidden="false" customHeight="false" outlineLevel="0" collapsed="false">
      <c r="A51" s="3" t="n">
        <v>45689</v>
      </c>
      <c r="B51" s="6" t="n">
        <v>241.84</v>
      </c>
      <c r="C51" s="6" t="n">
        <v>229.99</v>
      </c>
      <c r="D51" s="6" t="n">
        <v>250</v>
      </c>
      <c r="E51" s="6" t="n">
        <v>225.7</v>
      </c>
      <c r="F51" s="4" t="n">
        <v>862320000</v>
      </c>
      <c r="G51" s="5" t="n">
        <v>0.0247</v>
      </c>
    </row>
    <row r="52" customFormat="false" ht="15" hidden="false" customHeight="false" outlineLevel="0" collapsed="false">
      <c r="A52" s="3" t="n">
        <v>45717</v>
      </c>
      <c r="B52" s="6" t="n">
        <v>222.13</v>
      </c>
      <c r="C52" s="6" t="n">
        <v>241.79</v>
      </c>
      <c r="D52" s="6" t="n">
        <v>244.03</v>
      </c>
      <c r="E52" s="6" t="n">
        <v>208.42</v>
      </c>
      <c r="F52" s="4" t="n">
        <v>1120000000</v>
      </c>
      <c r="G52" s="5" t="n">
        <v>-0.0815</v>
      </c>
    </row>
    <row r="53" customFormat="false" ht="15" hidden="false" customHeight="false" outlineLevel="0" collapsed="false">
      <c r="A53" s="3" t="n">
        <v>45748</v>
      </c>
      <c r="B53" s="6" t="n">
        <v>212.5</v>
      </c>
      <c r="C53" s="6" t="n">
        <v>219.8</v>
      </c>
      <c r="D53" s="6" t="n">
        <v>225.19</v>
      </c>
      <c r="E53" s="6" t="n">
        <v>169.21</v>
      </c>
      <c r="F53" s="4" t="n">
        <v>1610000000</v>
      </c>
      <c r="G53" s="5" t="n">
        <v>-0.0434</v>
      </c>
    </row>
    <row r="54" customFormat="false" ht="15" hidden="false" customHeight="false" outlineLevel="0" collapsed="false">
      <c r="A54" s="3" t="n">
        <v>45778</v>
      </c>
      <c r="B54" s="6" t="n">
        <v>200.85</v>
      </c>
      <c r="C54" s="6" t="n">
        <v>209.08</v>
      </c>
      <c r="D54" s="6" t="n">
        <v>214.56</v>
      </c>
      <c r="E54" s="6" t="n">
        <v>193.25</v>
      </c>
      <c r="F54" s="4" t="n">
        <v>1200000000</v>
      </c>
      <c r="G54" s="5" t="n">
        <v>-0.0548</v>
      </c>
    </row>
    <row r="55" customFormat="false" ht="15" hidden="false" customHeight="false" outlineLevel="0" collapsed="false">
      <c r="A55" s="3" t="n">
        <v>45809</v>
      </c>
      <c r="B55" s="6" t="n">
        <v>205.17</v>
      </c>
      <c r="C55" s="6" t="n">
        <v>200.28</v>
      </c>
      <c r="D55" s="6" t="n">
        <v>207.39</v>
      </c>
      <c r="E55" s="6" t="n">
        <v>195.07</v>
      </c>
      <c r="F55" s="4" t="n">
        <v>1100000000</v>
      </c>
      <c r="G55" s="5" t="n">
        <v>0.0215</v>
      </c>
    </row>
    <row r="56" customFormat="false" ht="15" hidden="false" customHeight="false" outlineLevel="0" collapsed="false">
      <c r="A56" s="3" t="n">
        <v>45839</v>
      </c>
      <c r="B56" s="6" t="n">
        <v>207.57</v>
      </c>
      <c r="C56" s="6" t="n">
        <v>206.66</v>
      </c>
      <c r="D56" s="6" t="n">
        <v>216.23</v>
      </c>
      <c r="E56" s="6" t="n">
        <v>206.14</v>
      </c>
      <c r="F56" s="4" t="n">
        <v>1080000000</v>
      </c>
      <c r="G56" s="5" t="n">
        <v>0.0117</v>
      </c>
    </row>
    <row r="57" customFormat="false" ht="15" hidden="false" customHeight="false" outlineLevel="0" collapsed="false">
      <c r="A57" s="3" t="n">
        <v>45870</v>
      </c>
      <c r="B57" s="6" t="n">
        <v>232.14</v>
      </c>
      <c r="C57" s="6" t="n">
        <v>210.87</v>
      </c>
      <c r="D57" s="6" t="n">
        <v>235.12</v>
      </c>
      <c r="E57" s="6" t="n">
        <v>201.5</v>
      </c>
      <c r="F57" s="4" t="n">
        <v>1220000000</v>
      </c>
      <c r="G57" s="5" t="n">
        <v>0.1184</v>
      </c>
    </row>
    <row r="58" customFormat="false" ht="15" hidden="false" customHeight="false" outlineLevel="0" collapsed="false">
      <c r="A58" s="3" t="n">
        <v>45901</v>
      </c>
      <c r="B58" s="6" t="n">
        <v>254.63</v>
      </c>
      <c r="C58" s="6" t="n">
        <v>229.25</v>
      </c>
      <c r="D58" s="6" t="n">
        <v>257.6</v>
      </c>
      <c r="E58" s="6" t="n">
        <v>225.95</v>
      </c>
      <c r="F58" s="4" t="n">
        <v>1270000000</v>
      </c>
      <c r="G58" s="5" t="n">
        <v>0.0969</v>
      </c>
    </row>
    <row r="59" customFormat="false" ht="15" hidden="false" customHeight="false" outlineLevel="0" collapsed="false">
      <c r="A59" s="3" t="n">
        <v>45931</v>
      </c>
      <c r="B59" s="6" t="n">
        <v>270.37</v>
      </c>
      <c r="C59" s="6" t="n">
        <v>255.04</v>
      </c>
      <c r="D59" s="6" t="n">
        <v>277.32</v>
      </c>
      <c r="E59" s="6" t="n">
        <v>244</v>
      </c>
      <c r="F59" s="4" t="n">
        <v>1100000000</v>
      </c>
      <c r="G59" s="5" t="n">
        <v>0.0618</v>
      </c>
    </row>
    <row r="60" customFormat="false" ht="15" hidden="false" customHeight="false" outlineLevel="0" collapsed="false">
      <c r="A60" s="3" t="n">
        <v>45962</v>
      </c>
      <c r="B60" s="6" t="n">
        <v>278.85</v>
      </c>
      <c r="C60" s="6" t="n">
        <v>270.42</v>
      </c>
      <c r="D60" s="6" t="n">
        <v>280.38</v>
      </c>
      <c r="E60" s="6" t="n">
        <v>265.32</v>
      </c>
      <c r="F60" s="4" t="n">
        <v>877580000</v>
      </c>
      <c r="G60" s="5" t="n">
        <v>0.0314</v>
      </c>
    </row>
    <row r="61" customFormat="false" ht="15" hidden="false" customHeight="false" outlineLevel="0" collapsed="false">
      <c r="A61" s="3" t="n">
        <v>45992</v>
      </c>
      <c r="B61" s="6" t="n">
        <v>271.86</v>
      </c>
      <c r="C61" s="6" t="n">
        <v>278.01</v>
      </c>
      <c r="D61" s="6" t="n">
        <v>288.62</v>
      </c>
      <c r="E61" s="6" t="n">
        <v>266.95</v>
      </c>
      <c r="F61" s="4" t="n">
        <v>924530000</v>
      </c>
      <c r="G61" s="5" t="n">
        <v>-0.0251</v>
      </c>
    </row>
    <row r="62" customFormat="false" ht="15" hidden="false" customHeight="false" outlineLevel="0" collapsed="false">
      <c r="A62" s="3" t="n">
        <v>46023</v>
      </c>
      <c r="B62" s="6" t="n">
        <v>259.48</v>
      </c>
      <c r="C62" s="6" t="n">
        <v>272.26</v>
      </c>
      <c r="D62" s="6" t="n">
        <v>277.84</v>
      </c>
      <c r="E62" s="6" t="n">
        <v>243.42</v>
      </c>
      <c r="F62" s="4" t="n">
        <v>1040000000</v>
      </c>
      <c r="G62" s="5" t="n">
        <v>-0.0455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6" min="4" style="0" width="4"/>
  </cols>
  <sheetData>
    <row r="1" customFormat="false" ht="16.15" hidden="false" customHeight="false" outlineLevel="0" collapsed="false">
      <c r="A1" s="7" t="s">
        <v>8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</row>
    <row r="4" customFormat="false" ht="15" hidden="false" customHeight="false" outlineLevel="0" collapsed="false">
      <c r="A4" s="8" t="s">
        <v>12</v>
      </c>
      <c r="B4" s="9" t="n">
        <f aca="false">AVERAGE(Samsung!B2:B62)</f>
        <v>72296.7213114754</v>
      </c>
      <c r="C4" s="10" t="n">
        <f aca="false">AVERAGE(Apple!B2:B62)</f>
        <v>184.499180327869</v>
      </c>
    </row>
    <row r="5" customFormat="false" ht="15" hidden="false" customHeight="false" outlineLevel="0" collapsed="false">
      <c r="A5" s="8" t="s">
        <v>13</v>
      </c>
      <c r="B5" s="9" t="n">
        <f aca="false">MEDIAN(Samsung!B2:B62)</f>
        <v>71300</v>
      </c>
      <c r="C5" s="10" t="n">
        <f aca="false">MEDIAN(Apple!B2:B62)</f>
        <v>174.78</v>
      </c>
    </row>
    <row r="6" customFormat="false" ht="15" hidden="false" customHeight="false" outlineLevel="0" collapsed="false">
      <c r="A6" s="8" t="s">
        <v>14</v>
      </c>
      <c r="B6" s="9" t="n">
        <f aca="false">MAX(Samsung!B2:B62)</f>
        <v>160500</v>
      </c>
      <c r="C6" s="10" t="n">
        <f aca="false">MAX(Apple!B2:B62)</f>
        <v>278.85</v>
      </c>
    </row>
    <row r="7" customFormat="false" ht="15" hidden="false" customHeight="false" outlineLevel="0" collapsed="false">
      <c r="A7" s="8" t="s">
        <v>15</v>
      </c>
      <c r="B7" s="9" t="n">
        <f aca="false">MIN(Samsung!B2:B62)</f>
        <v>52400</v>
      </c>
      <c r="C7" s="10" t="n">
        <f aca="false">MIN(Apple!B2:B62)</f>
        <v>121.26</v>
      </c>
    </row>
    <row r="8" customFormat="false" ht="15" hidden="false" customHeight="false" outlineLevel="0" collapsed="false">
      <c r="A8" s="8" t="s">
        <v>16</v>
      </c>
      <c r="B8" s="9" t="n">
        <f aca="false">_xlfn.STDEV.S(Samsung!B2:B62)</f>
        <v>17213.6957799414</v>
      </c>
      <c r="C8" s="10" t="n">
        <f aca="false">_xlfn.STDEV.S(Apple!B2:B62)</f>
        <v>41.831011753446</v>
      </c>
    </row>
    <row r="9" customFormat="false" ht="15" hidden="false" customHeight="false" outlineLevel="0" collapsed="false">
      <c r="A9" s="8" t="s">
        <v>17</v>
      </c>
      <c r="B9" s="9" t="n">
        <f aca="false">AVERAGE(Samsung!F2:F62)</f>
        <v>355264262.295082</v>
      </c>
      <c r="C9" s="9" t="n">
        <f aca="false">AVERAGE(Apple!F2:F62)</f>
        <v>1453950819.67213</v>
      </c>
    </row>
    <row r="10" customFormat="false" ht="15" hidden="false" customHeight="false" outlineLevel="0" collapsed="false">
      <c r="A10" s="8" t="s">
        <v>18</v>
      </c>
      <c r="B10" s="11" t="n">
        <f aca="false">AVERAGE(Samsung!G2:G62)</f>
        <v>0.0153950819672131</v>
      </c>
      <c r="C10" s="11" t="n">
        <f aca="false">AVERAGE(Apple!G2:G62)</f>
        <v>0.0134688524590164</v>
      </c>
    </row>
    <row r="11" customFormat="false" ht="15" hidden="false" customHeight="false" outlineLevel="0" collapsed="false">
      <c r="A11" s="8" t="s">
        <v>19</v>
      </c>
      <c r="B11" s="11" t="n">
        <f aca="false">_xlfn.STDEV.S(Samsung!G2:G62)</f>
        <v>0.0946619448814737</v>
      </c>
      <c r="C11" s="11" t="n">
        <f aca="false">_xlfn.STDEV.S(Apple!G2:G62)</f>
        <v>0.0705755352819082</v>
      </c>
    </row>
    <row r="12" customFormat="false" ht="15" hidden="false" customHeight="false" outlineLevel="0" collapsed="false">
      <c r="A12" s="8" t="s">
        <v>20</v>
      </c>
      <c r="B12" s="11" t="n">
        <f aca="false">MAX(Samsung!G2:G62)</f>
        <v>0.3386</v>
      </c>
      <c r="C12" s="11" t="n">
        <f aca="false">MAX(Apple!G2:G62)</f>
        <v>0.1886</v>
      </c>
    </row>
    <row r="13" customFormat="false" ht="15" hidden="false" customHeight="false" outlineLevel="0" collapsed="false">
      <c r="A13" s="8" t="s">
        <v>21</v>
      </c>
      <c r="B13" s="11" t="n">
        <f aca="false">MIN(Samsung!G2:G62)</f>
        <v>-0.1723</v>
      </c>
      <c r="C13" s="11" t="n">
        <f aca="false">MIN(Apple!G2:G62)</f>
        <v>-0.1223</v>
      </c>
    </row>
    <row r="15" customFormat="false" ht="15" hidden="false" customHeight="false" outlineLevel="0" collapsed="false">
      <c r="A15" s="12" t="s">
        <v>22</v>
      </c>
      <c r="B15" s="13" t="n">
        <f aca="false">CORREL(Samsung!G2:G62,Apple!G2:G62)</f>
        <v>0.254566130846858</v>
      </c>
    </row>
    <row r="16" customFormat="false" ht="15" hidden="false" customHeight="false" outlineLevel="0" collapsed="false">
      <c r="A16" s="14" t="s">
        <v>23</v>
      </c>
      <c r="B16" s="14"/>
      <c r="C16" s="14"/>
      <c r="D16" s="14"/>
      <c r="E16" s="14"/>
      <c r="F16" s="14"/>
    </row>
    <row r="19" customFormat="false" ht="15" hidden="false" customHeight="false" outlineLevel="0" collapsed="false">
      <c r="A19" s="15" t="s">
        <v>24</v>
      </c>
      <c r="B19" s="15"/>
      <c r="C19" s="15"/>
    </row>
    <row r="20" customFormat="false" ht="15" hidden="false" customHeight="false" outlineLevel="0" collapsed="false">
      <c r="A20" s="16" t="s">
        <v>0</v>
      </c>
      <c r="B20" s="16" t="s">
        <v>25</v>
      </c>
      <c r="C20" s="16" t="s">
        <v>26</v>
      </c>
    </row>
    <row r="21" customFormat="false" ht="15" hidden="false" customHeight="false" outlineLevel="0" collapsed="false">
      <c r="A21" s="17" t="n">
        <f aca="false">Samsung!A2</f>
        <v>44197</v>
      </c>
      <c r="B21" s="18" t="n">
        <f aca="false">Samsung!B2/Samsung!$B$2*100</f>
        <v>100</v>
      </c>
      <c r="C21" s="18" t="n">
        <f aca="false">Apple!B2/Apple!$B$2*100</f>
        <v>100</v>
      </c>
    </row>
    <row r="22" customFormat="false" ht="15" hidden="false" customHeight="false" outlineLevel="0" collapsed="false">
      <c r="A22" s="17" t="n">
        <f aca="false">Samsung!A3</f>
        <v>44228</v>
      </c>
      <c r="B22" s="18" t="n">
        <f aca="false">Samsung!B3/Samsung!$B$2*100</f>
        <v>100.609756097561</v>
      </c>
      <c r="C22" s="18" t="n">
        <f aca="false">Apple!B3/Apple!$B$2*100</f>
        <v>91.8914822673537</v>
      </c>
    </row>
    <row r="23" customFormat="false" ht="15" hidden="false" customHeight="false" outlineLevel="0" collapsed="false">
      <c r="A23" s="17" t="n">
        <f aca="false">Samsung!A4</f>
        <v>44256</v>
      </c>
      <c r="B23" s="18" t="n">
        <f aca="false">Samsung!B4/Samsung!$B$2*100</f>
        <v>99.2682926829268</v>
      </c>
      <c r="C23" s="18" t="n">
        <f aca="false">Apple!B4/Apple!$B$2*100</f>
        <v>92.565929069415</v>
      </c>
    </row>
    <row r="24" customFormat="false" ht="15" hidden="false" customHeight="false" outlineLevel="0" collapsed="false">
      <c r="A24" s="17" t="n">
        <f aca="false">Samsung!A5</f>
        <v>44287</v>
      </c>
      <c r="B24" s="18" t="n">
        <f aca="false">Samsung!B5/Samsung!$B$2*100</f>
        <v>99.390243902439</v>
      </c>
      <c r="C24" s="18" t="n">
        <f aca="false">Apple!B5/Apple!$B$2*100</f>
        <v>99.6210973022128</v>
      </c>
    </row>
    <row r="25" customFormat="false" ht="15" hidden="false" customHeight="false" outlineLevel="0" collapsed="false">
      <c r="A25" s="17" t="n">
        <f aca="false">Samsung!A6</f>
        <v>44317</v>
      </c>
      <c r="B25" s="18" t="n">
        <f aca="false">Samsung!B6/Samsung!$B$2*100</f>
        <v>98.1707317073171</v>
      </c>
      <c r="C25" s="18" t="n">
        <f aca="false">Apple!B6/Apple!$B$2*100</f>
        <v>94.430130342528</v>
      </c>
    </row>
    <row r="26" customFormat="false" ht="15" hidden="false" customHeight="false" outlineLevel="0" collapsed="false">
      <c r="A26" s="17" t="n">
        <f aca="false">Samsung!A7</f>
        <v>44348</v>
      </c>
      <c r="B26" s="18" t="n">
        <f aca="false">Samsung!B7/Samsung!$B$2*100</f>
        <v>98.4146341463415</v>
      </c>
      <c r="C26" s="18" t="n">
        <f aca="false">Apple!B7/Apple!$B$2*100</f>
        <v>103.789026977872</v>
      </c>
    </row>
    <row r="27" customFormat="false" ht="15" hidden="false" customHeight="false" outlineLevel="0" collapsed="false">
      <c r="A27" s="17" t="n">
        <f aca="false">Samsung!A8</f>
        <v>44378</v>
      </c>
      <c r="B27" s="18" t="n">
        <f aca="false">Samsung!B8/Samsung!$B$2*100</f>
        <v>95.7317073170732</v>
      </c>
      <c r="C27" s="18" t="n">
        <f aca="false">Apple!B8/Apple!$B$2*100</f>
        <v>110.533494998484</v>
      </c>
    </row>
    <row r="28" customFormat="false" ht="15" hidden="false" customHeight="false" outlineLevel="0" collapsed="false">
      <c r="A28" s="17" t="n">
        <f aca="false">Samsung!A9</f>
        <v>44409</v>
      </c>
      <c r="B28" s="18" t="n">
        <f aca="false">Samsung!B9/Samsung!$B$2*100</f>
        <v>93.5365853658537</v>
      </c>
      <c r="C28" s="18" t="n">
        <f aca="false">Apple!B9/Apple!$B$2*100</f>
        <v>115.057593210064</v>
      </c>
    </row>
    <row r="29" customFormat="false" ht="15" hidden="false" customHeight="false" outlineLevel="0" collapsed="false">
      <c r="A29" s="17" t="n">
        <f aca="false">Samsung!A10</f>
        <v>44440</v>
      </c>
      <c r="B29" s="18" t="n">
        <f aca="false">Samsung!B10/Samsung!$B$2*100</f>
        <v>90.3658536585366</v>
      </c>
      <c r="C29" s="18" t="n">
        <f aca="false">Apple!B10/Apple!$B$2*100</f>
        <v>107.22946347378</v>
      </c>
    </row>
    <row r="30" customFormat="false" ht="15" hidden="false" customHeight="false" outlineLevel="0" collapsed="false">
      <c r="A30" s="17" t="n">
        <f aca="false">Samsung!A11</f>
        <v>44470</v>
      </c>
      <c r="B30" s="18" t="n">
        <f aca="false">Samsung!B11/Samsung!$B$2*100</f>
        <v>85.1219512195122</v>
      </c>
      <c r="C30" s="18" t="n">
        <f aca="false">Apple!B11/Apple!$B$2*100</f>
        <v>113.519248257048</v>
      </c>
    </row>
    <row r="31" customFormat="false" ht="15" hidden="false" customHeight="false" outlineLevel="0" collapsed="false">
      <c r="A31" s="17" t="n">
        <f aca="false">Samsung!A12</f>
        <v>44501</v>
      </c>
      <c r="B31" s="18" t="n">
        <f aca="false">Samsung!B12/Samsung!$B$2*100</f>
        <v>86.9512195121951</v>
      </c>
      <c r="C31" s="18" t="n">
        <f aca="false">Apple!B12/Apple!$B$2*100</f>
        <v>125.265231888451</v>
      </c>
    </row>
    <row r="32" customFormat="false" ht="15" hidden="false" customHeight="false" outlineLevel="0" collapsed="false">
      <c r="A32" s="17" t="n">
        <f aca="false">Samsung!A13</f>
        <v>44531</v>
      </c>
      <c r="B32" s="18" t="n">
        <f aca="false">Samsung!B13/Samsung!$B$2*100</f>
        <v>95.4878048780488</v>
      </c>
      <c r="C32" s="18" t="n">
        <f aca="false">Apple!B13/Apple!$B$2*100</f>
        <v>134.563504092149</v>
      </c>
    </row>
    <row r="33" customFormat="false" ht="15" hidden="false" customHeight="false" outlineLevel="0" collapsed="false">
      <c r="A33" s="17" t="n">
        <f aca="false">Samsung!A14</f>
        <v>44562</v>
      </c>
      <c r="B33" s="18" t="n">
        <f aca="false">Samsung!B14/Samsung!$B$2*100</f>
        <v>89.390243902439</v>
      </c>
      <c r="C33" s="18" t="n">
        <f aca="false">Apple!B14/Apple!$B$2*100</f>
        <v>132.449227038497</v>
      </c>
    </row>
    <row r="34" customFormat="false" ht="15" hidden="false" customHeight="false" outlineLevel="0" collapsed="false">
      <c r="A34" s="17" t="n">
        <f aca="false">Samsung!A15</f>
        <v>44593</v>
      </c>
      <c r="B34" s="18" t="n">
        <f aca="false">Samsung!B15/Samsung!$B$2*100</f>
        <v>87.9268292682927</v>
      </c>
      <c r="C34" s="18" t="n">
        <f aca="false">Apple!B15/Apple!$B$2*100</f>
        <v>125.128826917248</v>
      </c>
    </row>
    <row r="35" customFormat="false" ht="15" hidden="false" customHeight="false" outlineLevel="0" collapsed="false">
      <c r="A35" s="17" t="n">
        <f aca="false">Samsung!A16</f>
        <v>44621</v>
      </c>
      <c r="B35" s="18" t="n">
        <f aca="false">Samsung!B16/Samsung!$B$2*100</f>
        <v>84.8780487804878</v>
      </c>
      <c r="C35" s="18" t="n">
        <f aca="false">Apple!B16/Apple!$B$2*100</f>
        <v>132.320400121249</v>
      </c>
    </row>
    <row r="36" customFormat="false" ht="15" hidden="false" customHeight="false" outlineLevel="0" collapsed="false">
      <c r="A36" s="17" t="n">
        <f aca="false">Samsung!A17</f>
        <v>44652</v>
      </c>
      <c r="B36" s="18" t="n">
        <f aca="false">Samsung!B17/Samsung!$B$2*100</f>
        <v>82.1951219512195</v>
      </c>
      <c r="C36" s="18" t="n">
        <f aca="false">Apple!B17/Apple!$B$2*100</f>
        <v>119.468020612307</v>
      </c>
    </row>
    <row r="37" customFormat="false" ht="15" hidden="false" customHeight="false" outlineLevel="0" collapsed="false">
      <c r="A37" s="17" t="n">
        <f aca="false">Samsung!A18</f>
        <v>44682</v>
      </c>
      <c r="B37" s="18" t="n">
        <f aca="false">Samsung!B18/Samsung!$B$2*100</f>
        <v>82.1951219512195</v>
      </c>
      <c r="C37" s="18" t="n">
        <f aca="false">Apple!B18/Apple!$B$2*100</f>
        <v>112.791755077296</v>
      </c>
    </row>
    <row r="38" customFormat="false" ht="15" hidden="false" customHeight="false" outlineLevel="0" collapsed="false">
      <c r="A38" s="17" t="n">
        <f aca="false">Samsung!A19</f>
        <v>44713</v>
      </c>
      <c r="B38" s="18" t="n">
        <f aca="false">Samsung!B19/Samsung!$B$2*100</f>
        <v>69.5121951219512</v>
      </c>
      <c r="C38" s="18" t="n">
        <f aca="false">Apple!B19/Apple!$B$2*100</f>
        <v>103.607153682934</v>
      </c>
    </row>
    <row r="39" customFormat="false" ht="15" hidden="false" customHeight="false" outlineLevel="0" collapsed="false">
      <c r="A39" s="17" t="n">
        <f aca="false">Samsung!A20</f>
        <v>44743</v>
      </c>
      <c r="B39" s="18" t="n">
        <f aca="false">Samsung!B20/Samsung!$B$2*100</f>
        <v>74.8780487804878</v>
      </c>
      <c r="C39" s="18" t="n">
        <f aca="false">Apple!B20/Apple!$B$2*100</f>
        <v>123.150954834798</v>
      </c>
    </row>
    <row r="40" customFormat="false" ht="15" hidden="false" customHeight="false" outlineLevel="0" collapsed="false">
      <c r="A40" s="17" t="n">
        <f aca="false">Samsung!A21</f>
        <v>44774</v>
      </c>
      <c r="B40" s="18" t="n">
        <f aca="false">Samsung!B21/Samsung!$B$2*100</f>
        <v>72.8048780487805</v>
      </c>
      <c r="C40" s="18" t="n">
        <f aca="false">Apple!B21/Apple!$B$2*100</f>
        <v>119.14216429221</v>
      </c>
    </row>
    <row r="41" customFormat="false" ht="15" hidden="false" customHeight="false" outlineLevel="0" collapsed="false">
      <c r="A41" s="17" t="n">
        <f aca="false">Samsung!A22</f>
        <v>44805</v>
      </c>
      <c r="B41" s="18" t="n">
        <f aca="false">Samsung!B22/Samsung!$B$2*100</f>
        <v>64.7560975609756</v>
      </c>
      <c r="C41" s="18" t="n">
        <f aca="false">Apple!B22/Apple!$B$2*100</f>
        <v>104.728705668384</v>
      </c>
    </row>
    <row r="42" customFormat="false" ht="15" hidden="false" customHeight="false" outlineLevel="0" collapsed="false">
      <c r="A42" s="17" t="n">
        <f aca="false">Samsung!A23</f>
        <v>44835</v>
      </c>
      <c r="B42" s="18" t="n">
        <f aca="false">Samsung!B23/Samsung!$B$2*100</f>
        <v>72.4390243902439</v>
      </c>
      <c r="C42" s="18" t="n">
        <f aca="false">Apple!B23/Apple!$B$2*100</f>
        <v>116.201879357381</v>
      </c>
    </row>
    <row r="43" customFormat="false" ht="15" hidden="false" customHeight="false" outlineLevel="0" collapsed="false">
      <c r="A43" s="17" t="n">
        <f aca="false">Samsung!A24</f>
        <v>44866</v>
      </c>
      <c r="B43" s="18" t="n">
        <f aca="false">Samsung!B24/Samsung!$B$2*100</f>
        <v>75.8536585365854</v>
      </c>
      <c r="C43" s="18" t="n">
        <f aca="false">Apple!B24/Apple!$B$2*100</f>
        <v>112.177932706881</v>
      </c>
    </row>
    <row r="44" customFormat="false" ht="15" hidden="false" customHeight="false" outlineLevel="0" collapsed="false">
      <c r="A44" s="17" t="n">
        <f aca="false">Samsung!A25</f>
        <v>44896</v>
      </c>
      <c r="B44" s="18" t="n">
        <f aca="false">Samsung!B25/Samsung!$B$2*100</f>
        <v>67.4390243902439</v>
      </c>
      <c r="C44" s="18" t="n">
        <f aca="false">Apple!B25/Apple!$B$2*100</f>
        <v>98.4616550469839</v>
      </c>
    </row>
    <row r="45" customFormat="false" ht="15" hidden="false" customHeight="false" outlineLevel="0" collapsed="false">
      <c r="A45" s="17" t="n">
        <f aca="false">Samsung!A26</f>
        <v>44927</v>
      </c>
      <c r="B45" s="18" t="n">
        <f aca="false">Samsung!B26/Samsung!$B$2*100</f>
        <v>74.390243902439</v>
      </c>
      <c r="C45" s="18" t="n">
        <f aca="false">Apple!B26/Apple!$B$2*100</f>
        <v>109.343740527433</v>
      </c>
    </row>
    <row r="46" customFormat="false" ht="15" hidden="false" customHeight="false" outlineLevel="0" collapsed="false">
      <c r="A46" s="17" t="n">
        <f aca="false">Samsung!A27</f>
        <v>44958</v>
      </c>
      <c r="B46" s="18" t="n">
        <f aca="false">Samsung!B27/Samsung!$B$2*100</f>
        <v>73.9024390243903</v>
      </c>
      <c r="C46" s="18" t="n">
        <f aca="false">Apple!B27/Apple!$B$2*100</f>
        <v>111.708093361625</v>
      </c>
    </row>
    <row r="47" customFormat="false" ht="15" hidden="false" customHeight="false" outlineLevel="0" collapsed="false">
      <c r="A47" s="17" t="n">
        <f aca="false">Samsung!A28</f>
        <v>44986</v>
      </c>
      <c r="B47" s="18" t="n">
        <f aca="false">Samsung!B28/Samsung!$B$2*100</f>
        <v>78.0487804878049</v>
      </c>
      <c r="C47" s="18" t="n">
        <f aca="false">Apple!B28/Apple!$B$2*100</f>
        <v>124.962109730221</v>
      </c>
    </row>
    <row r="48" customFormat="false" ht="15" hidden="false" customHeight="false" outlineLevel="0" collapsed="false">
      <c r="A48" s="17" t="n">
        <f aca="false">Samsung!A29</f>
        <v>45017</v>
      </c>
      <c r="B48" s="18" t="n">
        <f aca="false">Samsung!B29/Samsung!$B$2*100</f>
        <v>79.8780487804878</v>
      </c>
      <c r="C48" s="18" t="n">
        <f aca="false">Apple!B29/Apple!$B$2*100</f>
        <v>128.584419521067</v>
      </c>
    </row>
    <row r="49" customFormat="false" ht="15" hidden="false" customHeight="false" outlineLevel="0" collapsed="false">
      <c r="A49" s="17" t="n">
        <f aca="false">Samsung!A30</f>
        <v>45047</v>
      </c>
      <c r="B49" s="18" t="n">
        <f aca="false">Samsung!B30/Samsung!$B$2*100</f>
        <v>87.0731707317073</v>
      </c>
      <c r="C49" s="18" t="n">
        <f aca="false">Apple!B30/Apple!$B$2*100</f>
        <v>134.321006365565</v>
      </c>
    </row>
    <row r="50" customFormat="false" ht="15" hidden="false" customHeight="false" outlineLevel="0" collapsed="false">
      <c r="A50" s="17" t="n">
        <f aca="false">Samsung!A31</f>
        <v>45078</v>
      </c>
      <c r="B50" s="18" t="n">
        <f aca="false">Samsung!B31/Samsung!$B$2*100</f>
        <v>88.0487804878049</v>
      </c>
      <c r="C50" s="18" t="n">
        <f aca="false">Apple!B31/Apple!$B$2*100</f>
        <v>146.99151257957</v>
      </c>
    </row>
    <row r="51" customFormat="false" ht="15" hidden="false" customHeight="false" outlineLevel="0" collapsed="false">
      <c r="A51" s="17" t="n">
        <f aca="false">Samsung!A32</f>
        <v>45108</v>
      </c>
      <c r="B51" s="18" t="n">
        <f aca="false">Samsung!B32/Samsung!$B$2*100</f>
        <v>85.1219512195122</v>
      </c>
      <c r="C51" s="18" t="n">
        <f aca="false">Apple!B32/Apple!$B$2*100</f>
        <v>148.870869960594</v>
      </c>
    </row>
    <row r="52" customFormat="false" ht="15" hidden="false" customHeight="false" outlineLevel="0" collapsed="false">
      <c r="A52" s="17" t="n">
        <f aca="false">Samsung!A33</f>
        <v>45139</v>
      </c>
      <c r="B52" s="18" t="n">
        <f aca="false">Samsung!B33/Samsung!$B$2*100</f>
        <v>81.5853658536585</v>
      </c>
      <c r="C52" s="18" t="n">
        <f aca="false">Apple!B33/Apple!$B$2*100</f>
        <v>142.368899666566</v>
      </c>
    </row>
    <row r="53" customFormat="false" ht="15" hidden="false" customHeight="false" outlineLevel="0" collapsed="false">
      <c r="A53" s="17" t="n">
        <f aca="false">Samsung!A34</f>
        <v>45170</v>
      </c>
      <c r="B53" s="18" t="n">
        <f aca="false">Samsung!B34/Samsung!$B$2*100</f>
        <v>83.4146341463415</v>
      </c>
      <c r="C53" s="18" t="n">
        <f aca="false">Apple!B34/Apple!$B$2*100</f>
        <v>129.743861776296</v>
      </c>
    </row>
    <row r="54" customFormat="false" ht="15" hidden="false" customHeight="false" outlineLevel="0" collapsed="false">
      <c r="A54" s="17" t="n">
        <f aca="false">Samsung!A35</f>
        <v>45200</v>
      </c>
      <c r="B54" s="18" t="n">
        <f aca="false">Samsung!B35/Samsung!$B$2*100</f>
        <v>81.5853658536585</v>
      </c>
      <c r="C54" s="18" t="n">
        <f aca="false">Apple!B35/Apple!$B$2*100</f>
        <v>129.410427402243</v>
      </c>
    </row>
    <row r="55" customFormat="false" ht="15" hidden="false" customHeight="false" outlineLevel="0" collapsed="false">
      <c r="A55" s="17" t="n">
        <f aca="false">Samsung!A36</f>
        <v>45231</v>
      </c>
      <c r="B55" s="18" t="n">
        <f aca="false">Samsung!B36/Samsung!$B$2*100</f>
        <v>88.7804878048781</v>
      </c>
      <c r="C55" s="18" t="n">
        <f aca="false">Apple!B36/Apple!$B$2*100</f>
        <v>143.94513488936</v>
      </c>
    </row>
    <row r="56" customFormat="false" ht="15" hidden="false" customHeight="false" outlineLevel="0" collapsed="false">
      <c r="A56" s="17" t="n">
        <f aca="false">Samsung!A37</f>
        <v>45261</v>
      </c>
      <c r="B56" s="18" t="n">
        <f aca="false">Samsung!B37/Samsung!$B$2*100</f>
        <v>95.7317073170732</v>
      </c>
      <c r="C56" s="18" t="n">
        <f aca="false">Apple!B37/Apple!$B$2*100</f>
        <v>145.900272809942</v>
      </c>
    </row>
    <row r="57" customFormat="false" ht="15" hidden="false" customHeight="false" outlineLevel="0" collapsed="false">
      <c r="A57" s="17" t="n">
        <f aca="false">Samsung!A38</f>
        <v>45292</v>
      </c>
      <c r="B57" s="18" t="n">
        <f aca="false">Samsung!B38/Samsung!$B$2*100</f>
        <v>88.6585365853659</v>
      </c>
      <c r="C57" s="18" t="n">
        <f aca="false">Apple!B38/Apple!$B$2*100</f>
        <v>139.739314943922</v>
      </c>
    </row>
    <row r="58" customFormat="false" ht="15" hidden="false" customHeight="false" outlineLevel="0" collapsed="false">
      <c r="A58" s="17" t="n">
        <f aca="false">Samsung!A39</f>
        <v>45323</v>
      </c>
      <c r="B58" s="18" t="n">
        <f aca="false">Samsung!B39/Samsung!$B$2*100</f>
        <v>89.5121951219512</v>
      </c>
      <c r="C58" s="18" t="n">
        <f aca="false">Apple!B39/Apple!$B$2*100</f>
        <v>136.973325250076</v>
      </c>
    </row>
    <row r="59" customFormat="false" ht="15" hidden="false" customHeight="false" outlineLevel="0" collapsed="false">
      <c r="A59" s="17" t="n">
        <f aca="false">Samsung!A40</f>
        <v>45352</v>
      </c>
      <c r="B59" s="18" t="n">
        <f aca="false">Samsung!B40/Samsung!$B$2*100</f>
        <v>100.487804878049</v>
      </c>
      <c r="C59" s="18" t="n">
        <f aca="false">Apple!B40/Apple!$B$2*100</f>
        <v>129.948469233101</v>
      </c>
    </row>
    <row r="60" customFormat="false" ht="15" hidden="false" customHeight="false" outlineLevel="0" collapsed="false">
      <c r="A60" s="17" t="n">
        <f aca="false">Samsung!A41</f>
        <v>45383</v>
      </c>
      <c r="B60" s="18" t="n">
        <f aca="false">Samsung!B41/Samsung!$B$2*100</f>
        <v>94.5121951219512</v>
      </c>
      <c r="C60" s="18" t="n">
        <f aca="false">Apple!B41/Apple!$B$2*100</f>
        <v>129.07699302819</v>
      </c>
    </row>
    <row r="61" customFormat="false" ht="15" hidden="false" customHeight="false" outlineLevel="0" collapsed="false">
      <c r="A61" s="17" t="n">
        <f aca="false">Samsung!A42</f>
        <v>45413</v>
      </c>
      <c r="B61" s="18" t="n">
        <f aca="false">Samsung!B42/Samsung!$B$2*100</f>
        <v>89.6341463414634</v>
      </c>
      <c r="C61" s="18" t="n">
        <f aca="false">Apple!B42/Apple!$B$2*100</f>
        <v>145.688087299182</v>
      </c>
    </row>
    <row r="62" customFormat="false" ht="15" hidden="false" customHeight="false" outlineLevel="0" collapsed="false">
      <c r="A62" s="17" t="n">
        <f aca="false">Samsung!A43</f>
        <v>45444</v>
      </c>
      <c r="B62" s="18" t="n">
        <f aca="false">Samsung!B43/Samsung!$B$2*100</f>
        <v>99.390243902439</v>
      </c>
      <c r="C62" s="18" t="n">
        <f aca="false">Apple!B43/Apple!$B$2*100</f>
        <v>159.608972415884</v>
      </c>
    </row>
    <row r="63" customFormat="false" ht="15" hidden="false" customHeight="false" outlineLevel="0" collapsed="false">
      <c r="A63" s="17" t="n">
        <f aca="false">Samsung!A44</f>
        <v>45474</v>
      </c>
      <c r="B63" s="18" t="n">
        <f aca="false">Samsung!B44/Samsung!$B$2*100</f>
        <v>102.317073170732</v>
      </c>
      <c r="C63" s="18" t="n">
        <f aca="false">Apple!B44/Apple!$B$2*100</f>
        <v>168.293422249166</v>
      </c>
    </row>
    <row r="64" customFormat="false" ht="15" hidden="false" customHeight="false" outlineLevel="0" collapsed="false">
      <c r="A64" s="17" t="n">
        <f aca="false">Samsung!A45</f>
        <v>45505</v>
      </c>
      <c r="B64" s="18" t="n">
        <f aca="false">Samsung!B45/Samsung!$B$2*100</f>
        <v>90.609756097561</v>
      </c>
      <c r="C64" s="18" t="n">
        <f aca="false">Apple!B45/Apple!$B$2*100</f>
        <v>173.537435586541</v>
      </c>
    </row>
    <row r="65" customFormat="false" ht="15" hidden="false" customHeight="false" outlineLevel="0" collapsed="false">
      <c r="A65" s="17" t="n">
        <f aca="false">Samsung!A46</f>
        <v>45536</v>
      </c>
      <c r="B65" s="18" t="n">
        <f aca="false">Samsung!B46/Samsung!$B$2*100</f>
        <v>75</v>
      </c>
      <c r="C65" s="18" t="n">
        <f aca="false">Apple!B46/Apple!$B$2*100</f>
        <v>176.568657168839</v>
      </c>
    </row>
    <row r="66" customFormat="false" ht="15" hidden="false" customHeight="false" outlineLevel="0" collapsed="false">
      <c r="A66" s="17" t="n">
        <f aca="false">Samsung!A47</f>
        <v>45566</v>
      </c>
      <c r="B66" s="18" t="n">
        <f aca="false">Samsung!B47/Samsung!$B$2*100</f>
        <v>72.1951219512195</v>
      </c>
      <c r="C66" s="18" t="n">
        <f aca="false">Apple!B47/Apple!$B$2*100</f>
        <v>171.195816914216</v>
      </c>
    </row>
    <row r="67" customFormat="false" ht="15" hidden="false" customHeight="false" outlineLevel="0" collapsed="false">
      <c r="A67" s="17" t="n">
        <f aca="false">Samsung!A48</f>
        <v>45597</v>
      </c>
      <c r="B67" s="18" t="n">
        <f aca="false">Samsung!B48/Samsung!$B$2*100</f>
        <v>66.0975609756098</v>
      </c>
      <c r="C67" s="18" t="n">
        <f aca="false">Apple!B48/Apple!$B$2*100</f>
        <v>179.849954531676</v>
      </c>
    </row>
    <row r="68" customFormat="false" ht="15" hidden="false" customHeight="false" outlineLevel="0" collapsed="false">
      <c r="A68" s="17" t="n">
        <f aca="false">Samsung!A49</f>
        <v>45627</v>
      </c>
      <c r="B68" s="18" t="n">
        <f aca="false">Samsung!B49/Samsung!$B$2*100</f>
        <v>64.8780487804878</v>
      </c>
      <c r="C68" s="18" t="n">
        <f aca="false">Apple!B49/Apple!$B$2*100</f>
        <v>189.769627159745</v>
      </c>
    </row>
    <row r="69" customFormat="false" ht="15" hidden="false" customHeight="false" outlineLevel="0" collapsed="false">
      <c r="A69" s="17" t="n">
        <f aca="false">Samsung!A50</f>
        <v>45658</v>
      </c>
      <c r="B69" s="18" t="n">
        <f aca="false">Samsung!B50/Samsung!$B$2*100</f>
        <v>63.9024390243903</v>
      </c>
      <c r="C69" s="18" t="n">
        <f aca="false">Apple!B50/Apple!$B$2*100</f>
        <v>178.842073355562</v>
      </c>
    </row>
    <row r="70" customFormat="false" ht="15" hidden="false" customHeight="false" outlineLevel="0" collapsed="false">
      <c r="A70" s="17" t="n">
        <f aca="false">Samsung!A51</f>
        <v>45689</v>
      </c>
      <c r="B70" s="18" t="n">
        <f aca="false">Samsung!B51/Samsung!$B$2*100</f>
        <v>66.4634146341464</v>
      </c>
      <c r="C70" s="18" t="n">
        <f aca="false">Apple!B51/Apple!$B$2*100</f>
        <v>183.267656865717</v>
      </c>
    </row>
    <row r="71" customFormat="false" ht="15" hidden="false" customHeight="false" outlineLevel="0" collapsed="false">
      <c r="A71" s="17" t="n">
        <f aca="false">Samsung!A52</f>
        <v>45717</v>
      </c>
      <c r="B71" s="18" t="n">
        <f aca="false">Samsung!B52/Samsung!$B$2*100</f>
        <v>70.4878048780488</v>
      </c>
      <c r="C71" s="18" t="n">
        <f aca="false">Apple!B52/Apple!$B$2*100</f>
        <v>168.331312518945</v>
      </c>
    </row>
    <row r="72" customFormat="false" ht="15" hidden="false" customHeight="false" outlineLevel="0" collapsed="false">
      <c r="A72" s="17" t="n">
        <f aca="false">Samsung!A53</f>
        <v>45748</v>
      </c>
      <c r="B72" s="18" t="n">
        <f aca="false">Samsung!B53/Samsung!$B$2*100</f>
        <v>67.6829268292683</v>
      </c>
      <c r="C72" s="18" t="n">
        <f aca="false">Apple!B53/Apple!$B$2*100</f>
        <v>161.033646559564</v>
      </c>
    </row>
    <row r="73" customFormat="false" ht="15" hidden="false" customHeight="false" outlineLevel="0" collapsed="false">
      <c r="A73" s="17" t="n">
        <f aca="false">Samsung!A54</f>
        <v>45778</v>
      </c>
      <c r="B73" s="18" t="n">
        <f aca="false">Samsung!B54/Samsung!$B$2*100</f>
        <v>68.5365853658537</v>
      </c>
      <c r="C73" s="18" t="n">
        <f aca="false">Apple!B54/Apple!$B$2*100</f>
        <v>152.205213701122</v>
      </c>
    </row>
    <row r="74" customFormat="false" ht="15" hidden="false" customHeight="false" outlineLevel="0" collapsed="false">
      <c r="A74" s="17" t="n">
        <f aca="false">Samsung!A55</f>
        <v>45809</v>
      </c>
      <c r="B74" s="18" t="n">
        <f aca="false">Samsung!B55/Samsung!$B$2*100</f>
        <v>72.9268292682927</v>
      </c>
      <c r="C74" s="18" t="n">
        <f aca="false">Apple!B55/Apple!$B$2*100</f>
        <v>155.478933010003</v>
      </c>
    </row>
    <row r="75" customFormat="false" ht="15" hidden="false" customHeight="false" outlineLevel="0" collapsed="false">
      <c r="A75" s="17" t="n">
        <f aca="false">Samsung!A56</f>
        <v>45839</v>
      </c>
      <c r="B75" s="18" t="n">
        <f aca="false">Samsung!B56/Samsung!$B$2*100</f>
        <v>87.0731707317073</v>
      </c>
      <c r="C75" s="18" t="n">
        <f aca="false">Apple!B56/Apple!$B$2*100</f>
        <v>157.297665959382</v>
      </c>
    </row>
    <row r="76" customFormat="false" ht="15" hidden="false" customHeight="false" outlineLevel="0" collapsed="false">
      <c r="A76" s="17" t="n">
        <f aca="false">Samsung!A57</f>
        <v>45870</v>
      </c>
      <c r="B76" s="18" t="n">
        <f aca="false">Samsung!B57/Samsung!$B$2*100</f>
        <v>85</v>
      </c>
      <c r="C76" s="18" t="n">
        <f aca="false">Apple!B57/Apple!$B$2*100</f>
        <v>175.916944528645</v>
      </c>
    </row>
    <row r="77" customFormat="false" ht="15" hidden="false" customHeight="false" outlineLevel="0" collapsed="false">
      <c r="A77" s="17" t="n">
        <f aca="false">Samsung!A58</f>
        <v>45901</v>
      </c>
      <c r="B77" s="18" t="n">
        <f aca="false">Samsung!B58/Samsung!$B$2*100</f>
        <v>102.317073170732</v>
      </c>
      <c r="C77" s="18" t="n">
        <f aca="false">Apple!B58/Apple!$B$2*100</f>
        <v>192.959987875114</v>
      </c>
    </row>
    <row r="78" customFormat="false" ht="15" hidden="false" customHeight="false" outlineLevel="0" collapsed="false">
      <c r="A78" s="17" t="n">
        <f aca="false">Samsung!A59</f>
        <v>45931</v>
      </c>
      <c r="B78" s="18" t="n">
        <f aca="false">Samsung!B59/Samsung!$B$2*100</f>
        <v>131.09756097561</v>
      </c>
      <c r="C78" s="18" t="n">
        <f aca="false">Apple!B59/Apple!$B$2*100</f>
        <v>204.887844801455</v>
      </c>
    </row>
    <row r="79" customFormat="false" ht="15" hidden="false" customHeight="false" outlineLevel="0" collapsed="false">
      <c r="A79" s="17" t="n">
        <f aca="false">Samsung!A60</f>
        <v>45962</v>
      </c>
      <c r="B79" s="18" t="n">
        <f aca="false">Samsung!B60/Samsung!$B$2*100</f>
        <v>122.560975609756</v>
      </c>
      <c r="C79" s="18" t="n">
        <f aca="false">Apple!B60/Apple!$B$2*100</f>
        <v>211.314034555926</v>
      </c>
    </row>
    <row r="80" customFormat="false" ht="15" hidden="false" customHeight="false" outlineLevel="0" collapsed="false">
      <c r="A80" s="17" t="n">
        <f aca="false">Samsung!A61</f>
        <v>45992</v>
      </c>
      <c r="B80" s="18" t="n">
        <f aca="false">Samsung!B61/Samsung!$B$2*100</f>
        <v>146.219512195122</v>
      </c>
      <c r="C80" s="18" t="n">
        <f aca="false">Apple!B61/Apple!$B$2*100</f>
        <v>206.016974840861</v>
      </c>
    </row>
    <row r="81" customFormat="false" ht="15" hidden="false" customHeight="false" outlineLevel="0" collapsed="false">
      <c r="A81" s="17" t="n">
        <f aca="false">Samsung!A62</f>
        <v>46023</v>
      </c>
      <c r="B81" s="18" t="n">
        <f aca="false">Samsung!B62/Samsung!$B$2*100</f>
        <v>195.731707317073</v>
      </c>
      <c r="C81" s="18" t="n">
        <f aca="false">Apple!B62/Apple!$B$2*100</f>
        <v>196.63534404365</v>
      </c>
    </row>
  </sheetData>
  <mergeCells count="3">
    <mergeCell ref="A1:F1"/>
    <mergeCell ref="A16:F16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2026-07-23T17:09:57Z</dcterms:created>
  <dc:creator>openpyxl</dc:creator>
  <dc:description/>
  <dc:language>en-US</dc:language>
  <cp:lastModifiedBy/>
  <dcterms:modified xsi:type="dcterms:W3CDTF">2026-07-23T17:09:59Z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